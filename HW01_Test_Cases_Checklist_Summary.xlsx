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9dc9672da14dd9" /></Relationships>
</file>

<file path=xl/workbook.xml><?xml version="1.0" encoding="utf-8"?>
<x:workbook xmlns:x="http://schemas.openxmlformats.org/spreadsheetml/2006/main">
  <x:sheets>
    <x:sheet xmlns:r="http://schemas.openxmlformats.org/officeDocument/2006/relationships" name="Tổng quan" sheetId="1" r:id="Rcc60f1f1452d4df2"/>
    <x:sheet xmlns:r="http://schemas.openxmlformats.org/officeDocument/2006/relationships" name="Ca kiểm thử" sheetId="2" r:id="R1bdddef905f54a8d"/>
    <x:sheet xmlns:r="http://schemas.openxmlformats.org/officeDocument/2006/relationships" name="Link video" sheetId="3" r:id="R483524aeb8da44b6"/>
    <x:sheet xmlns:r="http://schemas.openxmlformats.org/officeDocument/2006/relationships" name="Nhật ký defect" sheetId="4" r:id="R13053d512d4b4b79"/>
    <x:sheet xmlns:r="http://schemas.openxmlformats.org/officeDocument/2006/relationships" name="Danh sách kiểm tra" sheetId="5" r:id="R375e7e1e344c48de"/>
    <x:sheet xmlns:r="http://schemas.openxmlformats.org/officeDocument/2006/relationships" name="Truy vết" sheetId="6" r:id="R8ba103e8295e43bf"/>
    <x:sheet xmlns:r="http://schemas.openxmlformats.org/officeDocument/2006/relationships" name="Tự chấm" sheetId="7" r:id="Red43c0211cc84572"/>
  </x:sheets>
</x:workbook>
</file>

<file path=xl/sharedStrings.xml><?xml version="1.0" encoding="utf-8"?>
<x:sst xmlns:x="http://schemas.openxmlformats.org/spreadsheetml/2006/main">
  <x:si>
    <x:t xml:space="preserve">Hạng mục</x:t>
  </x:si>
  <x:si>
    <x:t xml:space="preserve">Giá trị</x:t>
  </x:si>
  <x:si>
    <x:t xml:space="preserve">Yêu cầu</x:t>
  </x:si>
  <x:si>
    <x:t xml:space="preserve">Trạng thái</x:t>
  </x:si>
  <x:si>
    <x:t xml:space="preserve">Tin tuyển dụng QA/QC</x:t>
  </x:si>
  <x:si>
    <x:t xml:space="preserve">Đạt; bằng chứng trong evidence/job_screenshots</x:t>
  </x:si>
  <x:si>
    <x:t xml:space="preserve">Việc làm yêu cầu AI/LLM</x:t>
  </x:si>
  <x:si>
    <x:t xml:space="preserve">&gt;=3</x:t>
  </x:si>
  <x:si>
    <x:t xml:space="preserve">Đạt; bốn vị trí được phân loại AI-required trong báo cáo</x:t>
  </x:si>
  <x:si>
    <x:t xml:space="preserve">Defect phần mềm 2022-2026</x:t>
  </x:si>
  <x:si>
    <x:t xml:space="preserve">Đạt; D01-D20 trong báo cáo</x:t>
  </x:si>
  <x:si>
    <x:t xml:space="preserve">Defect liên quan AI/LLM</x:t>
  </x:si>
  <x:si>
    <x:t xml:space="preserve">&gt;=5</x:t>
  </x:si>
  <x:si>
    <x:t xml:space="preserve">Đạt</x:t>
  </x:si>
  <x:si>
    <x:t xml:space="preserve">Test case sản phẩm vật lý</x:t>
  </x:si>
  <x:si>
    <x:t xml:space="preserve">Quạt bàn Senko B1216</x:t>
  </x:si>
  <x:si>
    <x:t xml:space="preserve">Test case đã thực thi</x:t>
  </x:si>
  <x:si>
    <x:t xml:space="preserve">Đạt; 10 test case đã thực thi và có video</x:t>
  </x:si>
  <x:si>
    <x:t xml:space="preserve">Edge case bổ sung</x:t>
  </x:si>
  <x:si>
    <x:t xml:space="preserve">TC10, TC11, TC13 và TC15</x:t>
  </x:si>
  <x:si>
    <x:t xml:space="preserve">Defect thực tế phát hiện</x:t>
  </x:si>
  <x:si>
    <x:t xml:space="preserve">Mục tiêu &gt;=5</x:t>
  </x:si>
  <x:si>
    <x:t xml:space="preserve">GitHub Issue cho defect</x:t>
  </x:si>
  <x:si>
    <x:t xml:space="preserve">Issue cho defect thật</x:t>
  </x:si>
  <x:si>
    <x:t xml:space="preserve">Video có giọng nói và &lt;=60 giây</x:t>
  </x:si>
  <x:si>
    <x:t xml:space="preserve">TC ID</x:t>
  </x:si>
  <x:si>
    <x:t xml:space="preserve">Tên test case</x:t>
  </x:si>
  <x:si>
    <x:t xml:space="preserve">Nhóm kiểm thử</x:t>
  </x:si>
  <x:si>
    <x:t xml:space="preserve">Mức ưu tiên</x:t>
  </x:si>
  <x:si>
    <x:t xml:space="preserve">Edge case?</x:t>
  </x:si>
  <x:si>
    <x:t xml:space="preserve">Objective</x:t>
  </x:si>
  <x:si>
    <x:t xml:space="preserve">Preconditions</x:t>
  </x:si>
  <x:si>
    <x:t xml:space="preserve">Input</x:t>
  </x:si>
  <x:si>
    <x:t xml:space="preserve">Steps</x:t>
  </x:si>
  <x:si>
    <x:t xml:space="preserve">Expected Result</x:t>
  </x:si>
  <x:si>
    <x:t xml:space="preserve">Pass Criteria</x:t>
  </x:si>
  <x:si>
    <x:t xml:space="preserve">Fail Criteria</x:t>
  </x:si>
  <x:si>
    <x:t xml:space="preserve">Điều kiện dừng test</x:t>
  </x:si>
  <x:si>
    <x:t xml:space="preserve">Actual Result</x:t>
  </x:si>
  <x:si>
    <x:t xml:space="preserve">Verdict</x:t>
  </x:si>
  <x:si>
    <x:t xml:space="preserve">Video ID</x:t>
  </x:si>
  <x:si>
    <x:t xml:space="preserve">Trạng thái video</x:t>
  </x:si>
  <x:si>
    <x:t xml:space="preserve">Link YouTube Unlisted</x:t>
  </x:si>
  <x:si>
    <x:t xml:space="preserve">Defect ID</x:t>
  </x:si>
  <x:si>
    <x:t xml:space="preserve">Link GitHub Issue</x:t>
  </x:si>
  <x:si>
    <x:t xml:space="preserve">Ghi chú</x:t>
  </x:si>
  <x:si>
    <x:t xml:space="preserve">TC01</x:t>
  </x:si>
  <x:si>
    <x:t xml:space="preserve">Kiểm tra bật và tắt quạt bằng nút điều khiển</x:t>
  </x:si>
  <x:si>
    <x:t xml:space="preserve">Functional - Power On/Off</x:t>
  </x:si>
  <x:si>
    <x:t xml:space="preserve">High</x:t>
  </x:si>
  <x:si>
    <x:t xml:space="preserve">Không</x:t>
  </x:si>
  <x:si>
    <x:t xml:space="preserve">Xác minh quạt nhận đúng lệnh bật ở mức gió 1, tạo được luồng gió và dừng hoàn toàn khi nhấn OFF; đồng thời quan sát các dấu hiệu bất thường có thể xuất hiện trong quá trình khởi động hoặc dừng.</x:t>
  </x:si>
  <x:si>
    <x:t xml:space="preserve">Quạt đặt trên mặt bàn phẳng, khô và cách mép bàn an toàn; lồng bảo vệ, dây điện và phích cắm không có hư hỏng dễ quan sát; khu vực phía trước quạt không có vật cản; nút OFF đang được chọn; quạt đã kết nối với nguồn điện 220V bình thường.</x:t>
  </x:si>
  <x:si>
    <x:t xml:space="preserve">Nút mức gió 1, nút OFF; thời gian quan sát tối thiểu 10 giây sau khi bật.</x:t>
  </x:si>
  <x:si>
    <x:t xml:space="preserve">1. Kiểm tra khu vực quanh quạt và xác nhận cánh đang đứng yên.
2. Đặt giấy mỏng phía trước quạt ở khoảng cách khoảng 50 cm.
3. Nhấn nút mức gió 1 và bắt đầu bấm giờ.
4. Quan sát cánh quạt, chuyển động của giấy và âm thanh trong ít nhất 10 giây.
5. Kiểm tra nhanh xem có mùi khét, tia lửa hoặc rung bất thường hay không.
6. Nhấn nút OFF.
7. Quan sát quá trình giảm tốc cho đến khi cánh dừng hoàn toàn.</x:t>
  </x:si>
  <x:si>
    <x:t xml:space="preserve">Khi chọn mức 1, nút được giữ đúng vị trí, motor khởi động, cánh quay liên tục và giấy chuyển động do luồng gió. Khi nhấn OFF, motor ngừng cấp lực, cánh giảm tốc tự nhiên rồi dừng hoàn toàn. Quạt không tự khởi động lại và không xuất hiện tia lửa, mùi khét, tiếng cọ xát hoặc rung bất thường.</x:t>
  </x:si>
  <x:si>
    <x:t xml:space="preserve">Quạt bật, tạo gió và tắt đúng theo thao tác; không có dấu hiệu mất an toàn.</x:t>
  </x:si>
  <x:si>
    <x:t xml:space="preserve">Quạt không khởi động hoặc không dừng; nút bị kẹt; cánh quay gián đoạn; xuất hiện tia lửa, mùi khét, tiếng cọ xát hoặc rung mạnh.</x:t>
  </x:si>
  <x:si>
    <x:t xml:space="preserve">Ngắt nguồn bằng công tắc ổ cắm ngay nếu có tia lửa, mùi khét, tiếng va chạm hoặc rung mạnh.</x:t>
  </x:si>
  <x:si>
    <x:t xml:space="preserve">Quạt khởi động khi chọn mức 1, cánh quay và tạo luồng gió; sau khi nhấn OFF, cánh giảm tốc và dừng hoàn toàn. Không ghi nhận dấu hiệu bất thường trong video.</x:t>
  </x:si>
  <x:si>
    <x:t xml:space="preserve">Pass</x:t>
  </x:si>
  <x:si>
    <x:t xml:space="preserve">VID-01</x:t>
  </x:si>
  <x:si>
    <x:t xml:space="preserve">Đã quay; &lt;=60 giây; có giọng nói</x:t>
  </x:si>
  <x:si>
    <x:t xml:space="preserve">https://youtube.com/shorts/Vr-wJWIK4W8</x:t>
  </x:si>
  <x:si>
    <x:t xml:space="preserve">TC02</x:t>
  </x:si>
  <x:si>
    <x:t xml:space="preserve">Kiểm tra mức gió 1, 2 và 3</x:t>
  </x:si>
  <x:si>
    <x:t xml:space="preserve">Functional - Speed Levels</x:t>
  </x:si>
  <x:si>
    <x:t xml:space="preserve">Xác minh cả ba mức tốc độ 1, 2 và 3 đều hoạt động; mỗi mức tạo được luồng gió; cường độ luồng gió quan sát được tăng tương ứng với mức được chọn.</x:t>
  </x:si>
  <x:si>
    <x:t xml:space="preserve">Quạt đặt cố định trên mặt bàn phẳng; chức năng quay trái-phải đang tắt; đầu quạt hướng thẳng về vị trí đo; giấy mỏng được đặt và giữ tại cùng một vị trí cách lồng quạt khoảng 50 cm; phòng không có luồng gió bên ngoài ảnh hưởng đáng kể.</x:t>
  </x:si>
  <x:si>
    <x:t xml:space="preserve">Lần lượt các nút mức gió 1, 2 và 3; thời gian ổn định 10 giây cho mỗi mức.</x:t>
  </x:si>
  <x:si>
    <x:t xml:space="preserve">1. Xác nhận quạt đang OFF và chức năng quay trái-phải đã tắt.
2. Dùng thước đặt giấy cách lồng quạt 50 cm và đánh dấu vị trí.
3. Chọn mức 1, chờ 10 giây rồi ghi nhận chuyển động của giấy.
4. Giữ nguyên hướng quạt và vị trí giấy; chuyển sang mức 2, chờ 10 giây và ghi nhận.
5. Chuyển sang mức 3, tiếp tục chờ 10 giây và ghi nhận.
6. Nhấn OFF.
7. So sánh mức độ chuyển động của giấy trong ba lần theo cùng điều kiện.</x:t>
  </x:si>
  <x:si>
    <x:t xml:space="preserve">Cả ba nút tốc độ đều làm cánh quạt quay ổn định và tạo luồng gió. Chuyển động của giấy có sự khác biệt quan sát được; mức 2 mạnh hơn mức 1 và mức 3 mạnh hơn mức 2. Không có mức nào mất chức năng, duy trì trạng thái của mức trước hoặc phản ứng giống OFF.</x:t>
  </x:si>
  <x:si>
    <x:t xml:space="preserve">Ba mức đều hoạt động và cho thứ tự cường độ luồng gió nhất quán 1 &lt; 2 &lt; 3.</x:t>
  </x:si>
  <x:si>
    <x:t xml:space="preserve">Một mức không hoạt động; tốc độ không thay đổi khi chuyển nút; cường độ không theo thứ tự mong đợi; quạt dừng ngoài ý muốn.</x:t>
  </x:si>
  <x:si>
    <x:t xml:space="preserve">Dừng nếu giấy có nguy cơ bị hút vào lồng hoặc quạt xuất hiện rung, mùi hay tiếng bất thường.</x:t>
  </x:si>
  <x:si>
    <x:t xml:space="preserve">Ba mức gió 1, 2 và 3 đều hoạt động; chuyển động của giấy thay đổi theo thứ tự mức 1 &lt; mức 2 &lt; mức 3. Không ghi nhận quạt dừng ngoài ý muốn.</x:t>
  </x:si>
  <x:si>
    <x:t xml:space="preserve">VID-02</x:t>
  </x:si>
  <x:si>
    <x:t xml:space="preserve">https://youtube.com/shorts/ZlQyC5pAADw?feature=share</x:t>
  </x:si>
  <x:si>
    <x:t xml:space="preserve">TC03</x:t>
  </x:si>
  <x:si>
    <x:t xml:space="preserve">Kiểm tra chuyển đổi tốc độ khi quạt đang chạy</x:t>
  </x:si>
  <x:si>
    <x:t xml:space="preserve">Functional - State Transition</x:t>
  </x:si>
  <x:si>
    <x:t xml:space="preserve">Xác minh quạt có thể chuyển trực tiếp giữa các mức tốc độ khi đang chạy mà không cần qua OFF; trạng thái nút và luồng gió phải phản ánh đúng mức mới.</x:t>
  </x:si>
  <x:si>
    <x:t xml:space="preserve">Quạt đã được cấp điện và hoạt động bình thường; chức năng quay trái-phải tắt; giấy mỏng đặt cố định phía trước; các nút không có dấu hiệu kẹt.</x:t>
  </x:si>
  <x:si>
    <x:t xml:space="preserve">Chuỗi chuyển trạng thái OFF → 1 → 3 → 2 → 1 → OFF, chờ 5 giây tại mỗi mức.</x:t>
  </x:si>
  <x:si>
    <x:t xml:space="preserve">1. Xác nhận quạt OFF và cánh đứng yên.
2. Chọn mức 1, chờ 5 giây và ghi nhận luồng gió.
3. Nhấn trực tiếp mức 3 mà không qua OFF; kiểm tra nút mức 1 nhả, chờ 5 giây và ghi nhận.
4. Chuyển trực tiếp sang mức 2; chờ 5 giây và ghi nhận.
5. Chuyển về mức 1; chờ 5 giây và ghi nhận.
6. Sau mỗi lần chuyển, kiểm tra nút mới được giữ và quạt không dừng ngoài ý muốn.
7. Nhấn OFF để kết thúc.</x:t>
  </x:si>
  <x:si>
    <x:t xml:space="preserve">Mỗi lần nhấn, nút mới được chọn và nút cũ nhả theo đúng cơ chế. Motor tiếp tục hoạt động; luồng gió tăng khi chuyển 1 → 3, giảm khi chuyển 3 → 2 → 1 và ổn định trong thời gian chờ. Quạt chỉ dừng khi nhấn OFF.</x:t>
  </x:si>
  <x:si>
    <x:t xml:space="preserve">Hoàn thành đúng toàn bộ chuỗi chuyển mức; trạng thái nút và luồng gió phù hợp ở mọi bước.</x:t>
  </x:si>
  <x:si>
    <x:t xml:space="preserve">Nút cũ không nhả, nút mới không giữ, quạt dừng, tốc độ không đổi hoặc phản ứng không đúng mức được chọn.</x:t>
  </x:si>
  <x:si>
    <x:t xml:space="preserve">Không cố nhấn nếu nút bị kẹt; ngắt nguồn nếu motor phát tiếng bất thường hoặc có mùi khét.</x:t>
  </x:si>
  <x:si>
    <x:t xml:space="preserve">Chưa thực thi</x:t>
  </x:si>
  <x:si>
    <x:t xml:space="preserve">Not Executed</x:t>
  </x:si>
  <x:si>
    <x:t xml:space="preserve">-</x:t>
  </x:si>
  <x:si>
    <x:t xml:space="preserve">Không quay</x:t>
  </x:si>
  <x:si>
    <x:t xml:space="preserve">Không áp dụng</x:t>
  </x:si>
  <x:si>
    <x:t xml:space="preserve">TC04</x:t>
  </x:si>
  <x:si>
    <x:t xml:space="preserve">Kiểm tra chức năng quay trái-phải</x:t>
  </x:si>
  <x:si>
    <x:t xml:space="preserve">Functional - Oscillation</x:t>
  </x:si>
  <x:si>
    <x:t xml:space="preserve">Xác minh đầu quạt tự di chuyển sang cả bên trái và bên phải, đồng thời tự đổi hướng tại hai đầu hành trình khi chức năng quay được kích hoạt.</x:t>
  </x:si>
  <x:si>
    <x:t xml:space="preserve">Quạt đặt trên mặt bàn phẳng, chắc chắn; có đủ khoảng trống ở hai bên đầu quạt; dây điện không bị căng; quạt đang chạy ổn định ở mức 1; không có người hoặc vật trong vùng chuyển động.</x:t>
  </x:si>
  <x:si>
    <x:t xml:space="preserve">Nút điều khiển quay phía sau đầu quạt; thời gian quan sát tối thiểu 30 giây.</x:t>
  </x:si>
  <x:si>
    <x:t xml:space="preserve">1. Dọn trống vùng chuyển động và đưa đầu quạt gần vị trí trung tâm.
2. Bật quạt ở mức 1.
3. Kích hoạt nút quay phía sau mà không dùng tay ép đầu quạt.
4. Bắt đầu bấm giờ và quan sát toàn bộ đầu quạt.
5. Theo dõi ít nhất một lần đi về bên trái, một lần đi về bên phải và sự đổi hướng tại hai đầu hành trình.
6. Tiếp tục quan sát tối thiểu 30 giây.
7. Tắt chức năng quay, sau đó nhấn OFF.</x:t>
  </x:si>
  <x:si>
    <x:t xml:space="preserve">Đầu quạt tự di chuyển về cả hai phía và tự đổi hướng tại đầu hành trình. Chuyển động tương đối đều, không va vào thân, không kẹt, giật mạnh hoặc dừng giữa đường. Cánh quạt và luồng gió vẫn duy trì trong toàn bộ phép thử.</x:t>
  </x:si>
  <x:si>
    <x:t xml:space="preserve">Quan sát được chuyển động hai chiều và ít nhất một lần đổi hướng bình thường tại mỗi phía.</x:t>
  </x:si>
  <x:si>
    <x:t xml:space="preserve">Đầu quạt không di chuyển, chỉ đi một phía, kẹt/dừng, va chạm, giật mạnh hoặc phát tiếng cơ học bất thường.</x:t>
  </x:si>
  <x:si>
    <x:t xml:space="preserve">Tắt chức năng quay ngay nếu đầu quạt gặp vật cản, va chạm, rung mạnh hoặc phát tiếng kẹt.</x:t>
  </x:si>
  <x:si>
    <x:t xml:space="preserve">Đầu quạt di chuyển sang hai phía và tự đổi hướng tại các đầu hành trình; cánh quạt tiếp tục quay ổn định.</x:t>
  </x:si>
  <x:si>
    <x:t xml:space="preserve">VID-03</x:t>
  </x:si>
  <x:si>
    <x:t xml:space="preserve">https://youtube.com/shorts/XP2K2qXUs3o?feature=share</x:t>
  </x:si>
  <x:si>
    <x:t xml:space="preserve">TC05</x:t>
  </x:si>
  <x:si>
    <x:t xml:space="preserve">Kiểm tra lồng bảo vệ, chân đế và bộ phận bên ngoài</x:t>
  </x:si>
  <x:si>
    <x:t xml:space="preserve">Safety - Physical Inspection</x:t>
  </x:si>
  <x:si>
    <x:t xml:space="preserve">Xác minh lồng bảo vệ, thân, chân đế, vỏ motor và các nút điều khiển không có hư hỏng bên ngoài rõ ràng có thể ảnh hưởng đến khả năng bảo vệ, độ ổn định hoặc an toàn sử dụng.</x:t>
  </x:si>
  <x:si>
    <x:t xml:space="preserve">Quạt đang OFF; phích cắm đã rút khỏi nguồn; dây được đặt cách xa ổ điện; quạt đặt trên bàn phẳng; khu vực có đủ ánh sáng; cánh quạt đã dừng hoàn toàn.</x:t>
  </x:si>
  <x:si>
    <x:t xml:space="preserve">Toàn bộ bộ phận quan sát được từ bên ngoài: lồng trước/sau, điểm nối, cánh nhìn qua lồng, nắp motor, thân, chân đế, vỏ ngoài và cụm nút.</x:t>
  </x:si>
  <x:si>
    <x:t xml:space="preserve">1. Xác nhận phích cắm ở ngoài ổ điện.
2. Quan sát toàn chu vi lồng trước, các khe lồng và điểm nối.
3. Quan sát lồng sau, nắp motor và vị trí nối đầu quạt với thân.
4. Tìm dấu nứt, gãy, méo, rỉ sét, dấu cháy, cạnh sắc hoặc chi tiết lỏng.
5. Quan sát thân, chân đế, bề mặt tiếp xúc bàn và khu vực các nút.
6. Ấn nhẹ từng nút khi chưa cấp điện để kiểm tra chi tiết lỏng; không tháo vỏ và không đưa tay xuyên lồng.
7. Chụp ảnh vị trí bất thường nếu phát hiện.</x:t>
  </x:si>
  <x:si>
    <x:t xml:space="preserve">Lồng bảo vệ nguyên vẹn, không biến dạng đến mức có thể tiếp xúc với cánh. Thân, vỏ motor và chân đế không nứt/gãy; không có cạnh sắc, dấu cháy hoặc chi tiết sắp rơi. Các nút ở đúng vị trí và thao tác được bằng lực thông thường.</x:t>
  </x:si>
  <x:si>
    <x:t xml:space="preserve">Không phát hiện hư hỏng bên ngoài làm giảm khả năng bảo vệ, điều khiển hoặc độ ổn định.</x:t>
  </x:si>
  <x:si>
    <x:t xml:space="preserve">Lồng gãy/méo lớn, bộ phận lỏng, chân đế nứt, cạnh sắc, dấu cháy hoặc hư hỏng có nguy cơ tiếp xúc với cánh/phần điện.</x:t>
  </x:si>
  <x:si>
    <x:t xml:space="preserve">Không cấp điện cho quạt nếu phát hiện bất kỳ hư hỏng nào có thể gây mất an toàn.</x:t>
  </x:si>
  <x:si>
    <x:t xml:space="preserve">Quan sát thấy gỉ sét trên lồng bảo vệ của quạt khi kiểm tra bên ngoài lúc đã rút điện.</x:t>
  </x:si>
  <x:si>
    <x:t xml:space="preserve">Fail</x:t>
  </x:si>
  <x:si>
    <x:t xml:space="preserve">VID-06</x:t>
  </x:si>
  <x:si>
    <x:t xml:space="preserve">https://youtube.com/shorts/G0JCx2u7Lpk?feature=share</x:t>
  </x:si>
  <x:si>
    <x:t xml:space="preserve">DEF-01</x:t>
  </x:si>
  <x:si>
    <x:t xml:space="preserve">TC06</x:t>
  </x:si>
  <x:si>
    <x:t xml:space="preserve">Kiểm tra độ ổn định của quạt khi hoạt động</x:t>
  </x:si>
  <x:si>
    <x:t xml:space="preserve">Stability</x:t>
  </x:si>
  <x:si>
    <x:t xml:space="preserve">Xác minh quạt đứng vững và không tự dịch chuyển đáng kể trên mặt bàn khi vận hành ở tốc độ cao nhất trong hai phút.</x:t>
  </x:si>
  <x:si>
    <x:t xml:space="preserve">Mặt bàn phẳng, khô, không rung và đủ rộng; quạt cách mép bàn một khoảng an toàn; chân đế sạch; chức năng quay trái-phải tắt; vị trí chân đế đã được đánh dấu.</x:t>
  </x:si>
  <x:si>
    <x:t xml:space="preserve">Mức gió 3; thời gian vận hành 2 phút.</x:t>
  </x:si>
  <x:si>
    <x:t xml:space="preserve">1. Kiểm tra bàn không nghiêng hoặc rung rõ ràng.
2. Đặt quạt cách mép bàn an toàn.
3. Đánh dấu vị trí bốn phía chân đế và chụp ảnh trước test.
4. Tắt chức năng quay rồi chọn mức 3.
5. Bắt đầu bấm giờ; không chạm vào bàn hoặc quạt trong 2 phút.
6. Quan sát rung, nghiêng và dịch chuyển trong lúc chạy.
7. Nhấn OFF, chờ cánh dừng rồi so sánh chân đế với mốc ban đầu.</x:t>
  </x:si>
  <x:si>
    <x:t xml:space="preserve">Chân đế tiếp xúc ổn định với bàn; quạt không nghiêng, nhấc chân hoặc có xu hướng đổ; vị trí sau test không lệch rõ ràng khỏi vùng đánh dấu. Rung thông thường của motor không làm quạt di chuyển liên tục.</x:t>
  </x:si>
  <x:si>
    <x:t xml:space="preserve">Quạt đứng vững suốt 2 phút và không dịch chuyển quan sát được khỏi vùng đánh dấu.</x:t>
  </x:si>
  <x:si>
    <x:t xml:space="preserve">Quạt trượt khỏi mốc, lắc mạnh, chân đế nhấc khỏi bàn hoặc có xu hướng đổ.</x:t>
  </x:si>
  <x:si>
    <x:t xml:space="preserve">Tắt ngay nếu quạt tiến gần mép bàn, rung tăng nhanh hoặc có nguy cơ đổ.</x:t>
  </x:si>
  <x:si>
    <x:t xml:space="preserve">TC07</x:t>
  </x:si>
  <x:si>
    <x:t xml:space="preserve">Kiểm tra khả năng thao tác các nút điều khiển</x:t>
  </x:si>
  <x:si>
    <x:t xml:space="preserve">Functional - Controls</x:t>
  </x:si>
  <x:si>
    <x:t xml:space="preserve">Xác minh nút OFF và các nút mức 1, 2, 3 có thể được nhấn bằng lực thông thường, chuyển trạng thái cơ học đúng và tạo ra phản ứng vận hành tương ứng một cách nhất quán.</x:t>
  </x:si>
  <x:si>
    <x:t xml:space="preserve">Quạt đặt ổn định; dây/phích đã qua kiểm tra trực quan; quạt được cấp điện bình thường; các nút không có vật cản.</x:t>
  </x:si>
  <x:si>
    <x:t xml:space="preserve">Hai vòng thao tác theo chuỗi 1 → 2 → 3 → OFF.</x:t>
  </x:si>
  <x:si>
    <x:t xml:space="preserve">1. Quan sát và xác nhận các nút không kẹt trước khi thử.
2. Nhấn mức 1; kiểm tra vị trí nút và phản ứng của quạt.
3. Nhấn mức 2; kiểm tra nút mức 1 nhả, mức 2 được giữ và luồng gió thay đổi.
4. Lặp lại với mức 3.
5. Nhấn OFF; kiểm tra nút tốc độ nhả và cánh giảm tốc.
6. Lặp lại toàn bộ chuỗi lần thứ hai.
7. Ghi nhận nút lỏng, lún, kẹt, cần lực bất thường hoặc phản hồi không nhất quán.</x:t>
  </x:si>
  <x:si>
    <x:t xml:space="preserve">Mỗi nút được nhấn bằng lực thông thường; nút mới được giữ và trạng thái trước được giải phóng đúng cơ chế. Tốc độ quạt phản ánh mức 1/2/3; OFF làm quạt dừng. Hai vòng thử cho kết quả nhất quán.</x:t>
  </x:si>
  <x:si>
    <x:t xml:space="preserve">Tất cả bốn nút hoạt động đúng và nhất quán trong cả hai vòng.</x:t>
  </x:si>
  <x:si>
    <x:t xml:space="preserve">Một nút không nhấn được, không giữ/nhả, phản hồi sai mức, bị kẹt hoặc cho hành vi khác nhau giữa hai vòng.</x:t>
  </x:si>
  <x:si>
    <x:t xml:space="preserve">Không cố dùng lực nếu nút kẹt; ngắt nguồn bằng công tắc ổ cắm nếu không thể dùng OFF để dừng quạt.</x:t>
  </x:si>
  <x:si>
    <x:t xml:space="preserve">TC08</x:t>
  </x:si>
  <x:si>
    <x:t xml:space="preserve">Quan sát tiếng ồn và rung động bất thường</x:t>
  </x:si>
  <x:si>
    <x:t xml:space="preserve">Non-functional - Noise/Vibration</x:t>
  </x:si>
  <x:si>
    <x:t xml:space="preserve">Medium</x:t>
  </x:si>
  <x:si>
    <x:t xml:space="preserve">Phát hiện tiếng cọ xát, va đập, lạch cạch hoặc rung bất thường ở ba mức tốc độ và khi cơ cấu quay trái-phải hoạt động.</x:t>
  </x:si>
  <x:si>
    <x:t xml:space="preserve">Phòng tương đối yên tĩnh; quạt đặt trên bàn phẳng; không có đồ vật chạm vào quạt hoặc vật dễ cộng hưởng trên bàn; lồng và chân đế đã qua kiểm tra trực quan.</x:t>
  </x:si>
  <x:si>
    <x:t xml:space="preserve">Các mức gió 1, 2, 3 trong 20 giây mỗi mức; chức năng quay trái-phải ở mức 2 trong 20 giây.</x:t>
  </x:si>
  <x:si>
    <x:t xml:space="preserve">1. Tắt các nguồn âm thanh không cần thiết và kiểm tra không có vật chạm quạt.
2. Chạy mức 1 trong 20 giây; nghe tại khoảng cách sử dụng bình thường và quan sát thân/chân đế.
3. Lặp lại với mức 2 trong 20 giây.
4. Lặp lại với mức 3 trong 20 giây.
5. Chuyển về mức 2, bật chức năng quay và quan sát thêm 20 giây.
6. Ghi mức và thời điểm nếu xuất hiện tiếng cọ, gõ, lạch cạch hoặc rung bất thường.
7. Nhấn OFF.</x:t>
  </x:si>
  <x:si>
    <x:t xml:space="preserve">Âm thanh motor và luồng gió có thể tăng theo tốc độ nhưng phải duy trì đều. Không có tiếng va đập tuần hoàn, tiếng cánh cọ lồng hoặc tiếng kẹt cơ cấu quay. Thân và chân đế không rung đến mức dịch chuyển hoặc mất ổn định.</x:t>
  </x:si>
  <x:si>
    <x:t xml:space="preserve">Không phát hiện tiếng hoặc rung bất thường ở cả ba mức và khi quay trái-phải.</x:t>
  </x:si>
  <x:si>
    <x:t xml:space="preserve">Có tiếng cọ xát, va đập, lạch cạch kéo dài/lặp lại, rung mạnh hoặc chân đế dịch chuyển.</x:t>
  </x:si>
  <x:si>
    <x:t xml:space="preserve">Tắt ngay nếu có tiếng va chạm lớn, rung tăng nhanh hoặc nghi ngờ cánh chạm lồng.</x:t>
  </x:si>
  <x:si>
    <x:t xml:space="preserve">Khi chạy ở mức 3, quạt xuất hiện tiếng ồn và rung bất thường so với trạng thái mong đợi.</x:t>
  </x:si>
  <x:si>
    <x:t xml:space="preserve">VID-07</x:t>
  </x:si>
  <x:si>
    <x:t xml:space="preserve">https://youtube.com/shorts/fBDMChyDsWY?feature=share</x:t>
  </x:si>
  <x:si>
    <x:t xml:space="preserve">DEF-04</x:t>
  </x:si>
  <x:si>
    <x:t xml:space="preserve">TC09</x:t>
  </x:si>
  <x:si>
    <x:t xml:space="preserve">Kiểm tra trực quan dây điện và phích cắm trước khi cấp điện</x:t>
  </x:si>
  <x:si>
    <x:t xml:space="preserve">Safety - Electrical Inspection</x:t>
  </x:si>
  <x:si>
    <x:t xml:space="preserve">Xác minh lớp cách điện, điểm nối, thân phích và chân cắm không có dấu hiệu hư hỏng nguy hiểm dễ quan sát trước khi cho phép thực hiện các test có cấp điện.</x:t>
  </x:si>
  <x:si>
    <x:t xml:space="preserve">Quạt OFF; phích đã rút hoàn toàn khỏi nguồn; tay người kiểm thử và khu vực kiểm tra khô; cánh quạt đã dừng; có đủ ánh sáng.</x:t>
  </x:si>
  <x:si>
    <x:t xml:space="preserve">Toàn bộ chiều dài dây điện, vị trí dây đi vào thân quạt, điểm nối dây-phích, thân phích và hai chân cắm.</x:t>
  </x:si>
  <x:si>
    <x:t xml:space="preserve">1. Xác nhận phích nằm ngoài ổ cắm và tay khô.
2. Bắt đầu từ vị trí dây đi ra khỏi thân quạt, quan sát chậm dọc toàn bộ chiều dài.
3. Kiểm tra dấu nứt, bong vỏ, dây hở, vết cháy, vị trí bị ép hoặc gập nghiêm trọng.
4. Quan sát điểm nối dây với thân phích.
5. Kiểm tra thân phích có nứt, cháy hoặc biến dạng; kiểm tra hai chân cắm có thẳng và chắc bằng quan sát bên ngoài.
6. Chụp ảnh bất thường nếu có.
7. Chỉ cho phép thực hiện test có nguồn khi không phát hiện nguy hiểm.</x:t>
  </x:si>
  <x:si>
    <x:t xml:space="preserve">Lớp cách điện liên tục và nguyên vẹn; không thấy lõi dẫn điện; thân phích và điểm nối không nứt/cháy; chân cắm không cong hoặc lỏng rõ ràng. Nếu phát hiện dấu hiệu nguy hiểm, quạt không được cấp điện.</x:t>
  </x:si>
  <x:si>
    <x:t xml:space="preserve">Không phát hiện hư hỏng nguy hiểm bằng kiểm tra trực quan.</x:t>
  </x:si>
  <x:si>
    <x:t xml:space="preserve">Có dây hở, vỏ nứt/cháy, phích vỡ, chân cắm biến dạng/lỏng hoặc điểm nối dây bong tách.</x:t>
  </x:si>
  <x:si>
    <x:t xml:space="preserve">Nếu phát hiện bất kỳ dấu hiệu điện nguy hiểm nào, dừng toàn bộ test cần cấp nguồn và ghi nhận defect.</x:t>
  </x:si>
  <x:si>
    <x:t xml:space="preserve">Kiểm tra trực quan cho thấy dây điện hoặc phích cắm có dấu hiệu hư hỏng. Chi tiết vị trí và dạng hư hỏng cần bổ sung sau khi đối chiếu video gốc.</x:t>
  </x:si>
  <x:si>
    <x:t xml:space="preserve">VID-08</x:t>
  </x:si>
  <x:si>
    <x:t xml:space="preserve">https://youtube.com/shorts/z15npKrBLaQ</x:t>
  </x:si>
  <x:si>
    <x:t xml:space="preserve">DEF-07</x:t>
  </x:si>
  <x:si>
    <x:t xml:space="preserve">TC10</x:t>
  </x:si>
  <x:si>
    <x:t xml:space="preserve">Kiểm tra quạt không tự khởi động lại khi OFF đang được chọn</x:t>
  </x:si>
  <x:si>
    <x:t xml:space="preserve">Edge case - Power Recovery</x:t>
  </x:si>
  <x:si>
    <x:t xml:space="preserve">Có</x:t>
  </x:si>
  <x:si>
    <x:t xml:space="preserve">Xác minh quạt duy trì trạng thái tắt và không tự khởi động khi nguồn điện bên ngoài bị ngắt rồi cấp lại trong lúc nút OFF vẫn được chọn.</x:t>
  </x:si>
  <x:si>
    <x:t xml:space="preserve">Quạt kết nối với ổ cắm có công tắc và đèn báo; dây/phích an toàn; công tắc ổ cắm đang bật; nút OFF được chọn; cánh đứng yên; không rút/cắm phích trong khi test.</x:t>
  </x:si>
  <x:si>
    <x:t xml:space="preserve">Nút OFF; một chu kỳ tắt nguồn 10 giây rồi cấp lại bằng công tắc ổ cắm.</x:t>
  </x:si>
  <x:si>
    <x:t xml:space="preserve">1. Bật nguồn ổ cắm và nhấn OFF trên quạt.
2. Xác nhận cánh dừng hoàn toàn và quay rõ trạng thái nút OFF.
3. Tắt công tắc ổ cắm; xác nhận đèn báo nguồn tắt.
4. Chờ 10 giây.
5. Bật lại công tắc ổ cắm nhưng không chạm vào bất kỳ nút nào trên quạt.
6. Quan sát cánh, motor và âm thanh trong 15 giây.
7. Chọn mức 1 để xác nhận quạt vẫn hoạt động bình thường.
8. Nhấn OFF để kết thúc.</x:t>
  </x:si>
  <x:si>
    <x:t xml:space="preserve">Trong thời gian mất nguồn, quạt đứng yên. Khi nguồn được cấp lại, trạng thái OFF cơ học vẫn được giữ và quạt không tự chạy. Quạt chỉ khởi động sau khi người dùng chủ động chọn mức 1; không có phản ứng nguồn bất thường.</x:t>
  </x:si>
  <x:si>
    <x:t xml:space="preserve">Quạt không tự khởi động sau khi có điện lại và vẫn hoạt động bình thường khi chọn mức 1.</x:t>
  </x:si>
  <x:si>
    <x:t xml:space="preserve">Cánh/motor tự hoạt động khi OFF vẫn được chọn; có âm thanh bất thường; hoặc quạt không thể khởi động sau chu kỳ nguồn.</x:t>
  </x:si>
  <x:si>
    <x:t xml:space="preserve">Ngắt công tắc ổ cắm ngay nếu có tia lửa, mùi khét hoặc phản ứng nguồn bất thường.</x:t>
  </x:si>
  <x:si>
    <x:t xml:space="preserve">TC11</x:t>
  </x:si>
  <x:si>
    <x:t xml:space="preserve">Kiểm tra phản ứng khi mất và có điện trở lại ở mức gió 1</x:t>
  </x:si>
  <x:si>
    <x:t xml:space="preserve">Xác minh hành vi dừng và phục hồi của quạt khi nguồn điện bị ngắt rồi cấp lại trong khi nút cơ học mức 1 vẫn đang được chọn.</x:t>
  </x:si>
  <x:si>
    <x:t xml:space="preserve">Quạt kết nối với ổ cắm có công tắc/đèn báo; dây và phích đã kiểm tra an toàn; quạt hoạt động bình thường; không rút/cắm phích trong test; khu vực khô ráo.</x:t>
  </x:si>
  <x:si>
    <x:t xml:space="preserve">Nút mức gió 1; một chu kỳ tắt nguồn, chờ cánh dừng và chờ thêm 10 giây rồi cấp lại.</x:t>
  </x:si>
  <x:si>
    <x:t xml:space="preserve">1. Bật công tắc ổ cắm và chọn mức 1.
2. Dùng giấy xác nhận có luồng gió; để quạt chạy ổn định 10 giây.
3. Giữ nguyên nút mức 1 và tắt công tắc ổ cắm.
4. Quan sát cánh giảm tốc đến khi dừng hoàn toàn.
5. Chờ thêm 10 giây và quay rõ nút mức 1 vẫn đang được chọn.
6. Bật lại công tắc ổ cắm.
7. Quan sát khả năng khởi động lại, luồng gió, tiếng động và rung trong 15 giây.
8. Nhấn OFF để kết thúc.</x:t>
  </x:si>
  <x:si>
    <x:t xml:space="preserve">Khi tắt nguồn, motor ngừng và cánh dừng tự nhiên. Khi có điện lại, do nút cơ học mức 1 vẫn được chọn, quạt khởi động trở lại ở mức 1 và tạo luồng gió tương ứng. Không có tia lửa, mùi khét, tiếng kẹt hoặc rung bất thường.</x:t>
  </x:si>
  <x:si>
    <x:t xml:space="preserve">Quạt dừng khi mất nguồn, phục hồi đúng trạng thái mức 1 và vận hành ổn định sau khi có điện.</x:t>
  </x:si>
  <x:si>
    <x:t xml:space="preserve">Quạt không dừng, không khởi động lại, khởi động ở trạng thái khác hoặc xuất hiện dấu hiệu mất an toàn.</x:t>
  </x:si>
  <x:si>
    <x:t xml:space="preserve">Ngắt công tắc ổ cắm ngay nếu có tia lửa, mùi khét, tiếng kẹt hoặc rung mạnh.</x:t>
  </x:si>
  <x:si>
    <x:t xml:space="preserve">Khi tắt công tắc ổ cắm, quạt giảm tốc và dừng; khi cấp điện lại trong lúc nút mức 1 vẫn được chọn, quạt khởi động trở lại ở mức 1.</x:t>
  </x:si>
  <x:si>
    <x:t xml:space="preserve">VID-04</x:t>
  </x:si>
  <x:si>
    <x:t xml:space="preserve">https://youtube.com/shorts/bo11jkZl1aw?feature=share</x:t>
  </x:si>
  <x:si>
    <x:t xml:space="preserve">TC12</x:t>
  </x:si>
  <x:si>
    <x:t xml:space="preserve">Kiểm tra hoạt động liên tục trong 30 phút</x:t>
  </x:si>
  <x:si>
    <x:t xml:space="preserve">Stability - Endurance</x:t>
  </x:si>
  <x:si>
    <x:t xml:space="preserve">Xác minh quạt có thể duy trì hoạt động liên tục ở mức gió 2 trong 30 phút mà không tự tắt, suy giảm rõ ràng hoặc phát sinh dấu hiệu bất thường mới.</x:t>
  </x:si>
  <x:si>
    <x:t xml:space="preserve">Quạt đặt ở nơi thông thoáng và cách mép bàn an toàn; không có vật cản quanh lồng và motor; dây/phích an toàn; chức năng quay tắt; người kiểm thử có mặt suốt quá trình.</x:t>
  </x:si>
  <x:si>
    <x:t xml:space="preserve">Mức gió 2; thời gian 30 phút; các checkpoint tại phút 0, 10, 20 và 30.</x:t>
  </x:si>
  <x:si>
    <x:t xml:space="preserve">1. Kiểm tra khoảng thông thoáng và vị trí ổn định.
2. Chọn mức 2, tắt chức năng quay và bắt đầu bấm giờ.
3. Tại phút 0, ghi nhận trạng thái cánh, luồng gió, âm thanh và rung ban đầu.
4. Tại phút 10, 20 và 30, lặp lại quan sát; dùng giấy tại cùng vị trí để kiểm tra luồng gió.
5. Không che motor, di chuyển quạt hoặc rời khu vực.
6. Nếu đủ 30 phút, nhấn OFF và quan sát cánh dừng.
7. Nếu phải dừng sớm, ghi thời điểm và nguyên nhân.</x:t>
  </x:si>
  <x:si>
    <x:t xml:space="preserve">Quạt chạy liên tục đủ 30 phút ở mức 2; luồng gió tại các checkpoint không mất hoặc suy giảm rõ ràng; quạt không tự tắt, tự đổi tốc độ hoặc phát sinh tiếng, rung, mùi bất thường. Thiết bị tắt bình thường khi nhấn OFF.</x:t>
  </x:si>
  <x:si>
    <x:t xml:space="preserve">Tất cả bốn checkpoint ổn định và quạt hoàn thành đủ 30 phút.</x:t>
  </x:si>
  <x:si>
    <x:t xml:space="preserve">Quạt tự dừng/giảm tốc; luồng gió mất; âm thanh/rung tăng bất thường; xuất hiện mùi khét hoặc test phải dừng trước thời hạn do thiết bị.</x:t>
  </x:si>
  <x:si>
    <x:t xml:space="preserve">Dừng ngay nếu có mùi khét, vỏ nóng bất thường khi quan sát từ bên ngoài, rung mạnh hoặc tiếng cọ xát.</x:t>
  </x:si>
  <x:si>
    <x:t xml:space="preserve">Trong quá trình hoạt động liên tục, quạt xuất hiện dấu hiệu bất thường. Thời điểm và biểu hiện cụ thể cần bổ sung sau khi đối chiếu video gốc.</x:t>
  </x:si>
  <x:si>
    <x:t xml:space="preserve">VID-09</x:t>
  </x:si>
  <x:si>
    <x:t xml:space="preserve">https://youtube.com/shorts/2jg-haqA_Wk</x:t>
  </x:si>
  <x:si>
    <x:t xml:space="preserve">DEF-08</x:t>
  </x:si>
  <x:si>
    <x:t xml:space="preserve">TC13</x:t>
  </x:si>
  <x:si>
    <x:t xml:space="preserve">Kiểm tra thao tác nút quay khi motor chưa hoạt động</x:t>
  </x:si>
  <x:si>
    <x:t xml:space="preserve">Edge case - State Combination</x:t>
  </x:si>
  <x:si>
    <x:t xml:space="preserve">Xác minh việc kích hoạt cơ cấu quay khi motor chính đang tắt không làm đầu quạt chuyển động ngoài ý muốn, đồng thời trạng thái cơ cấu được áp dụng đúng sau khi bật mức 1.</x:t>
  </x:si>
  <x:si>
    <x:t xml:space="preserve">Quạt được cấp điện; nút OFF đang được chọn; cánh và đầu quạt đứng yên; khu vực hai bên không có vật cản; không dùng tay cản hoặc ép đầu quạt.</x:t>
  </x:si>
  <x:si>
    <x:t xml:space="preserve">Nút quay trái-phải phía sau; sau đó nút mức gió 1.</x:t>
  </x:si>
  <x:si>
    <x:t xml:space="preserve">1. Nhấn OFF và chờ cánh dừng hoàn toàn.
2. Xác nhận đầu quạt đứng yên và vùng chuyển động an toàn.
3. Kích hoạt nút quay trong khi motor vẫn tắt.
4. Quan sát đầu quạt trong 5 giây mà không chạm hoặc ép.
5. Chọn mức gió 1.
6. Quan sát trong ít nhất 30 giây để xác nhận đầu quạt bắt đầu quay trái-phải.
7. Nhấn OFF và đưa nút quay về trạng thái ban đầu.</x:t>
  </x:si>
  <x:si>
    <x:t xml:space="preserve">Khi motor tắt, thao tác nút quay không tự tạo chuyển động của đầu quạt. Sau khi chọn mức 1, cơ cấu quay được truyền động và đầu quạt di chuyển đúng trạng thái đã chọn. Không có tiếng kẹt, giật hoặc chuyển động bất thường.</x:t>
  </x:si>
  <x:si>
    <x:t xml:space="preserve">Không có chuyển động ngoài ý muốn khi OFF và chức năng quay hoạt động đúng sau khi bật mức 1.</x:t>
  </x:si>
  <x:si>
    <x:t xml:space="preserve">Đầu quạt tự chuyển động khi motor tắt; cơ cấu không hoạt động sau khi bật; hoặc xuất hiện tiếng kẹt/giật.</x:t>
  </x:si>
  <x:si>
    <x:t xml:space="preserve">Tắt ngay nếu đầu quạt kẹt, va chạm hoặc phát tiếng cơ học lớn.</x:t>
  </x:si>
  <x:si>
    <x:t xml:space="preserve">TC14</x:t>
  </x:si>
  <x:si>
    <x:t xml:space="preserve">Kiểm tra bật và tắt chức năng quay trái-phải ở mức gió 2</x:t>
  </x:si>
  <x:si>
    <x:t xml:space="preserve">Functional - Oscillation Control</x:t>
  </x:si>
  <x:si>
    <x:t xml:space="preserve">Xác minh chức năng quay trái-phải có thể được bật, tắt và bật lại độc lập trong khi motor chính và cánh quạt vẫn duy trì mức gió 2.</x:t>
  </x:si>
  <x:si>
    <x:t xml:space="preserve">Quạt đặt trên bàn phẳng; không có vật cản trong toàn bộ vùng quay; dây không bị căng; quạt hoạt động ổn định ở mức 2; nút quay ban đầu ở trạng thái tắt.</x:t>
  </x:si>
  <x:si>
    <x:t xml:space="preserve">Một chuỗi bật quay → tắt quay → bật quay trong khi giữ nguyên mức gió 2.</x:t>
  </x:si>
  <x:si>
    <x:t xml:space="preserve">1. Chọn mức 2 và dùng giấy xác nhận quạt đang tạo gió.
2. Bật chức năng quay; quan sát đến khi đầu quạt đổi hướng ít nhất một lần.
3. Tắt chức năng quay mà không dùng tay giữ đầu quạt.
4. Quan sát 10 giây để xác nhận đầu không tiếp tục đổi hướng nhưng cánh vẫn quay và tạo gió.
5. Bật lại chức năng quay.
6. Quan sát đến lần đổi hướng tiếp theo.
7. Kiểm tra nút mức 2 vẫn được giữ trong toàn bộ test.
8. Nhấn OFF để kết thúc.</x:t>
  </x:si>
  <x:si>
    <x:t xml:space="preserve">Cơ cấu quay bắt đầu và dừng theo nút riêng mà không làm mất hoạt động của cánh/motor. Khi bật lại, đầu quạt tiếp tục chuyển động và tự đổi hướng; tốc độ gió vẫn ở mức 2; không kẹt, giật mạnh hoặc dừng ngoài ý muốn.</x:t>
  </x:si>
  <x:si>
    <x:t xml:space="preserve">Hai lần bật và một lần tắt chức năng quay đều phản hồi đúng; motor chính hoạt động liên tục ở mức 2.</x:t>
  </x:si>
  <x:si>
    <x:t xml:space="preserve">Tắt quay làm cánh dừng; đầu vẫn đổi hướng sau khi tắt; không quay lại khi bật; tốc độ thay đổi hoặc có kẹt/giật.</x:t>
  </x:si>
  <x:si>
    <x:t xml:space="preserve">Tắt quay hoặc nhấn OFF nếu đầu quạt va chạm, rung mạnh hoặc phát tiếng kẹt.</x:t>
  </x:si>
  <x:si>
    <x:t xml:space="preserve">Có thể bật, tắt và bật lại chức năng quay khi quạt chạy mức 2; cánh quạt tiếp tục quay và tạo gió trong suốt thao tác.</x:t>
  </x:si>
  <x:si>
    <x:t xml:space="preserve">VID-05</x:t>
  </x:si>
  <x:si>
    <x:t xml:space="preserve">https://youtube.com/shorts/PWsEnAifg1Q?feature=share</x:t>
  </x:si>
  <x:si>
    <x:t xml:space="preserve">TC15</x:t>
  </x:si>
  <x:si>
    <x:t xml:space="preserve">Kiểm tra độ ổn định của ba chu kỳ quay trái-phải</x:t>
  </x:si>
  <x:si>
    <x:t xml:space="preserve">Edge case - Repeated Operation</x:t>
  </x:si>
  <x:si>
    <x:t xml:space="preserve">Xác minh cơ cấu quay trái-phải lặp lại ổn định qua ba chu kỳ hoàn chỉnh, bao gồm việc đến hai đầu hành trình, tự đổi hướng và tiếp tục vận hành.</x:t>
  </x:si>
  <x:si>
    <x:t xml:space="preserve">Quạt đặt trên bàn phẳng; đủ khoảng trống hai bên; dây không bị căng; quạt chạy ổn định ở mức 2; chức năng quay đã bật; camera thấy toàn bộ hành trình.</x:t>
  </x:si>
  <x:si>
    <x:t xml:space="preserve">Ba chu kỳ quay liên tiếp; một chu kỳ được tính từ một đầu hành trình sang đầu đối diện rồi trở lại điểm bắt đầu.</x:t>
  </x:si>
  <x:si>
    <x:t xml:space="preserve">1. Chọn mức 2, bật chức năng quay và chờ chuyển động ổn định.
2. Chọn một đầu hành trình làm điểm bắt đầu và bắt đầu quay video.
3. Theo dõi đầu quạt đi sang đầu đối diện rồi quay về điểm đầu; ghi nhận chu kỳ 1.
4. Lặp lại cách đếm cho chu kỳ 2 và chu kỳ 3.
5. Ở mỗi đầu hành trình, quan sát khả năng đổi hướng, tiếng động và độ rung.
6. Kiểm tra cánh vẫn quay và tạo gió trong toàn bộ ba chu kỳ.
7. Tắt chức năng quay và nhấn OFF sau khi hoàn tất.</x:t>
  </x:si>
  <x:si>
    <x:t xml:space="preserve">Đầu quạt hoàn thành đủ ba chu kỳ liên tiếp, đến cả hai đầu hành trình và tự đổi hướng trong mỗi chu kỳ. Thời gian giữa các chu kỳ không chênh lệch bất thường dễ nhận biết; không kẹt, dừng, giật mạnh hoặc phát tiếng va đập; cánh duy trì hoạt động.</x:t>
  </x:si>
  <x:si>
    <x:t xml:space="preserve">Hoàn tất 3/3 chu kỳ với chuyển động, đổi hướng và luồng gió ổn định.</x:t>
  </x:si>
  <x:si>
    <x:t xml:space="preserve">Không hoàn tất ba chu kỳ; kẹt tại đầu hành trình; dừng giữa chừng; chuyển động không đều rõ ràng; motor chính ngừng hoặc xuất hiện tiếng va đập.</x:t>
  </x:si>
  <x:si>
    <x:t xml:space="preserve">Tắt ngay nếu đầu quạt va chạm, kẹt kéo dài, rung mạnh hoặc có nguy cơ kéo căng dây điện.</x:t>
  </x:si>
  <x:si>
    <x:t xml:space="preserve">Trong ba chu kỳ quay trái-phải, cơ cấu quay có biểu hiện mất ổn định. Chu kỳ và vị trí đầu hành trình cụ thể cần bổ sung sau khi đối chiếu video gốc.</x:t>
  </x:si>
  <x:si>
    <x:t xml:space="preserve">VID-10</x:t>
  </x:si>
  <x:si>
    <x:t xml:space="preserve">https://youtube.com/shorts/xI9108mpsqs?feature=share</x:t>
  </x:si>
  <x:si>
    <x:t xml:space="preserve">DEF-09</x:t>
  </x:si>
  <x:si>
    <x:t xml:space="preserve">Test case liên quan</x:t>
  </x:si>
  <x:si>
    <x:t xml:space="preserve">Thời lượng &lt;=60s?</x:t>
  </x:si>
  <x:si>
    <x:t xml:space="preserve">Có giọng nói sinh viên?</x:t>
  </x:si>
  <x:si>
    <x:t xml:space="preserve">Kết quả/Verdict</x:t>
  </x:si>
  <x:si>
    <x:t xml:space="preserve">TC01 - Bật và tắt quạt</x:t>
  </x:si>
  <x:si>
    <x:t xml:space="preserve">56 giây - Có</x:t>
  </x:si>
  <x:si>
    <x:t xml:space="preserve">TC02 - Ba mức tốc độ gió</x:t>
  </x:si>
  <x:si>
    <x:t xml:space="preserve">58 giây - Có</x:t>
  </x:si>
  <x:si>
    <x:t xml:space="preserve">TC04 - Chức năng quay trái-phải</x:t>
  </x:si>
  <x:si>
    <x:t xml:space="preserve">59 giây - Có</x:t>
  </x:si>
  <x:si>
    <x:t xml:space="preserve">TC11 - Mất điện khi đang chạy mức 1</x:t>
  </x:si>
  <x:si>
    <x:t xml:space="preserve">TC14 - Bật/tắt chức năng quay khi đang chạy</x:t>
  </x:si>
  <x:si>
    <x:t xml:space="preserve">TC05 - Gỉ sét trên lồng bảo vệ</x:t>
  </x:si>
  <x:si>
    <x:t xml:space="preserve">52 giây - Có</x:t>
  </x:si>
  <x:si>
    <x:t xml:space="preserve">TC08 - Tiếng ồn và rung bất thường ở mức 3</x:t>
  </x:si>
  <x:si>
    <x:t xml:space="preserve">50 giây - Có</x:t>
  </x:si>
  <x:si>
    <x:t xml:space="preserve">TC09 - Hư hỏng dây điện/phích cắm</x:t>
  </x:si>
  <x:si>
    <x:t xml:space="preserve">54 giây - Có</x:t>
  </x:si>
  <x:si>
    <x:t xml:space="preserve">TC12 - Hoạt động liên tục bất thường</x:t>
  </x:si>
  <x:si>
    <x:t xml:space="preserve">42 giây - Có</x:t>
  </x:si>
  <x:si>
    <x:t xml:space="preserve">TC15 - Cơ cấu quay mất ổn định</x:t>
  </x:si>
  <x:si>
    <x:t xml:space="preserve">TC liên quan</x:t>
  </x:si>
  <x:si>
    <x:t xml:space="preserve">Tiêu đề defect</x:t>
  </x:si>
  <x:si>
    <x:t xml:space="preserve">Steps to Reproduce</x:t>
  </x:si>
  <x:si>
    <x:t xml:space="preserve">Reproducibility</x:t>
  </x:si>
  <x:si>
    <x:t xml:space="preserve">Severity</x:t>
  </x:si>
  <x:si>
    <x:t xml:space="preserve">Evidence/Video ID</x:t>
  </x:si>
  <x:si>
    <x:t xml:space="preserve">Lồng bảo vệ bị gỉ sét</x:t>
  </x:si>
  <x:si>
    <x:t xml:space="preserve">Rung hoặc tiếng ồn bất thường ở mức 3</x:t>
  </x:si>
  <x:si>
    <x:t xml:space="preserve">Dây điện hoặc phích cắm có dấu hiệu hư hỏng</x:t>
  </x:si>
  <x:si>
    <x:t xml:space="preserve">Quạt có biểu hiện bất thường khi hoạt động liên tục</x:t>
  </x:si>
  <x:si>
    <x:t xml:space="preserve">Cơ cấu quay mất ổn định sau ba chu kỳ</x:t>
  </x:si>
  <x:si>
    <x:t xml:space="preserve">Hạng mục checklist</x:t>
  </x:si>
  <x:si>
    <x:t xml:space="preserve">Người phụ trách</x:t>
  </x:si>
  <x:si>
    <x:t xml:space="preserve">Điền MSSV, họ tên, lớp và GitHub repo</x:t>
  </x:si>
  <x:si>
    <x:t xml:space="preserve">Đã hoàn thành</x:t>
  </x:si>
  <x:si>
    <x:t xml:space="preserve">Sinh viên</x:t>
  </x:si>
  <x:si>
    <x:t xml:space="preserve">Đủ 10 tin tuyển dụng và screenshot có tài khoản</x:t>
  </x:si>
  <x:si>
    <x:t xml:space="preserve">Cần kiểm tra</x:t>
  </x:si>
  <x:si>
    <x:t xml:space="preserve">Ảnh nằm trong evidence/job_screenshots; cần mở lại để xác nhận tên tài khoản</x:t>
  </x:si>
  <x:si>
    <x:t xml:space="preserve">Tin tuyển dụng trong vòng 60 ngày</x:t>
  </x:si>
  <x:si>
    <x:t xml:space="preserve">Đối chiếu lần cuối với ngày nộp thật trên Moodle</x:t>
  </x:si>
  <x:si>
    <x:t xml:space="preserve">Đủ 20 defect và 20 lần kiểm chứng AI</x:t>
  </x:si>
  <x:si>
    <x:t xml:space="preserve">D01-D20 trong main report</x:t>
  </x:si>
  <x:si>
    <x:t xml:space="preserve">Khai báo quạt Senko B1216, năm và serial</x:t>
  </x:si>
  <x:si>
    <x:t xml:space="preserve">Cần bổ sung</x:t>
  </x:si>
  <x:si>
    <x:t xml:space="preserve">Model B1216 và năm mua 2023 đã có; serial chưa tìm thấy trên nhãn</x:t>
  </x:si>
  <x:si>
    <x:t xml:space="preserve">Ảnh quạt và thẻ sinh viên cùng khung hình</x:t>
  </x:si>
  <x:si>
    <x:t xml:space="preserve">evidence/physical_product/R3_fan_student_id.jpg</x:t>
  </x:si>
  <x:si>
    <x:t xml:space="preserve">Ảnh nhãn năng lượng quạt</x:t>
  </x:si>
  <x:si>
    <x:t xml:space="preserve">evidence/physical_product/R3_fan_label.jpg</x:t>
  </x:si>
  <x:si>
    <x:t xml:space="preserve">Đủ đúng 15 test case sản phẩm vật lý</x:t>
  </x:si>
  <x:si>
    <x:t xml:space="preserve">TC01-TC15 trong sheet Ca kiểm thử và main report</x:t>
  </x:si>
  <x:si>
    <x:t xml:space="preserve">Có ít nhất ba edge case AI ban đầu bỏ sót</x:t>
  </x:si>
  <x:si>
    <x:t xml:space="preserve">Screenshot chứng minh AI bỏ sót edge case</x:t>
  </x:si>
  <x:si>
    <x:t xml:space="preserve">Chưa có evidence/ai_screenshots/R3_ai_edge_case_omission.png</x:t>
  </x:si>
  <x:si>
    <x:t xml:space="preserve">Thực thi tối thiểu năm test case</x:t>
  </x:si>
  <x:si>
    <x:t xml:space="preserve">10 test case có video: TC01, TC02, TC04, TC05, TC08, TC09, TC11, TC12, TC14, TC15</x:t>
  </x:si>
  <x:si>
    <x:t xml:space="preserve">Năm video có giọng nói, &lt;=60 giây, YouTube Unlisted</x:t>
  </x:si>
  <x:si>
    <x:t xml:space="preserve">Defect thật và GitHub Issue tương ứng</x:t>
  </x:si>
  <x:si>
    <x:t xml:space="preserve">Ảnh prompt và output AI ban đầu</x:t>
  </x:si>
  <x:si>
    <x:t xml:space="preserve">R3_test_case_prompt.png và R3_initial_ai_output.png</x:t>
  </x:si>
  <x:si>
    <x:t xml:space="preserve">Main report PDF</x:t>
  </x:si>
  <x:si>
    <x:t xml:space="preserve">Hiện mới có HW01_Main_Report.md</x:t>
  </x:si>
  <x:si>
    <x:t xml:space="preserve">AI-02, AI-03, AI-05 và prompt log</x:t>
  </x:si>
  <x:si>
    <x:t xml:space="preserve">Đã có AI-02, AI-03, AI-05 bằng Markdown/PDF và Appendix_A_Prompt_Log.md</x:t>
  </x:si>
  <x:si>
    <x:t xml:space="preserve">Không còn file tạm bắt đầu bằng ~$ trước khi nén ZIP</x:t>
  </x:si>
  <x:si>
    <x:t xml:space="preserve">Đóng Excel và kiểm tra lần cuối trước khi nộp</x:t>
  </x:si>
  <x:si>
    <x:t xml:space="preserve">Yêu cầu / Artifact</x:t>
  </x:si>
  <x:si>
    <x:t xml:space="preserve">Evidence/File</x:t>
  </x:si>
  <x:si>
    <x:t xml:space="preserve">Trạng thái hiện tại</x:t>
  </x:si>
  <x:si>
    <x:t xml:space="preserve">Main report Markdown</x:t>
  </x:si>
  <x:si>
    <x:t xml:space="preserve">HW01_Main_Report.md</x:t>
  </x:si>
  <x:si>
    <x:t xml:space="preserve">Đã có</x:t>
  </x:si>
  <x:si>
    <x:t xml:space="preserve">HW01_Main_Report.pdf</x:t>
  </x:si>
  <x:si>
    <x:t xml:space="preserve">Chưa có</x:t>
  </x:si>
  <x:si>
    <x:t xml:space="preserve">Cần xuất PDF trước khi nộp</x:t>
  </x:si>
  <x:si>
    <x:t xml:space="preserve">Excel test case/checklist/summary</x:t>
  </x:si>
  <x:si>
    <x:t xml:space="preserve">HW01_Test_Cases_Checklist_Summary.xlsx</x:t>
  </x:si>
  <x:si>
    <x:t xml:space="preserve">Đã cập nhật</x:t>
  </x:si>
  <x:si>
    <x:t xml:space="preserve">15 test case; 10 test case đã thực thi; 10 link video; 5 defect đã ghi nhận</x:t>
  </x:si>
  <x:si>
    <x:t xml:space="preserve">Mindmap QA/QC</x:t>
  </x:si>
  <x:si>
    <x:t xml:space="preserve">QA_QC_Role_Mindmap.md / QA_QC_Role_Mindmap.png</x:t>
  </x:si>
  <x:si>
    <x:t xml:space="preserve">10 job screenshots</x:t>
  </x:si>
  <x:si>
    <x:t xml:space="preserve">evidence/job_screenshots/</x:t>
  </x:si>
  <x:si>
    <x:t xml:space="preserve">Cần xác nhận ảnh hiển thị tên tài khoản</x:t>
  </x:si>
  <x:si>
    <x:t xml:space="preserve">Ảnh quạt + thẻ sinh viên</x:t>
  </x:si>
  <x:si>
    <x:t xml:space="preserve">Cùng một khung hình</x:t>
  </x:si>
  <x:si>
    <x:t xml:space="preserve">Model B1216, 40 W</x:t>
  </x:si>
  <x:si>
    <x:t xml:space="preserve">Ảnh prompt AI</x:t>
  </x:si>
  <x:si>
    <x:t xml:space="preserve">evidence/ai_screenshots/R3_test_case_prompt.png</x:t>
  </x:si>
  <x:si>
    <x:t xml:space="preserve">Ảnh output AI ban đầu</x:t>
  </x:si>
  <x:si>
    <x:t xml:space="preserve">evidence/ai_screenshots/R3_initial_ai_output.png</x:t>
  </x:si>
  <x:si>
    <x:t xml:space="preserve">Ảnh chứng minh AI bỏ sót edge case</x:t>
  </x:si>
  <x:si>
    <x:t xml:space="preserve">evidence/ai_screenshots/R3_ai_edge_case_omission.png</x:t>
  </x:si>
  <x:si>
    <x:t xml:space="preserve">Prompt log</x:t>
  </x:si>
  <x:si>
    <x:t xml:space="preserve">Appendix_A_Prompt_Log.md</x:t>
  </x:si>
  <x:si>
    <x:t xml:space="preserve">Prompt log đã được bổ sung theo thời gian sử dụng AI</x:t>
  </x:si>
  <x:si>
    <x:t xml:space="preserve">AI-02 Audit Report</x:t>
  </x:si>
  <x:si>
    <x:t xml:space="preserve">AI Template/[AI-02] - FIT@HCMUS - AI Audit Report_Vi.pdf</x:t>
  </x:si>
  <x:si>
    <x:t xml:space="preserve">Bản PDF tiếng Việt</x:t>
  </x:si>
  <x:si>
    <x:t xml:space="preserve">AI-03 Disclosure Form</x:t>
  </x:si>
  <x:si>
    <x:t xml:space="preserve">AI Template/[AI-03] - FIT@HCMUS - AI Disclosure Form_Vi.pdf</x:t>
  </x:si>
  <x:si>
    <x:t xml:space="preserve">AI-05 Privacy Checklist</x:t>
  </x:si>
  <x:si>
    <x:t xml:space="preserve">AI Template/[AI-05] - FIT@HCMUS - AI Privacy Checklist_Vi.pdf</x:t>
  </x:si>
  <x:si>
    <x:t xml:space="preserve">Năm video Requirement 3</x:t>
  </x:si>
  <x:si>
    <x:t xml:space="preserve">10 link YouTube trong sheet Link video</x:t>
  </x:si>
  <x:si>
    <x:t xml:space="preserve">GitHub Issues screenshot</x:t>
  </x:si>
  <x:si>
    <x:t xml:space="preserve">GitHub repository</x:t>
  </x:si>
  <x:si>
    <x:t xml:space="preserve">https://github.com/HuynhDucThinh/Software-Testing-HW01</x:t>
  </x:si>
  <x:si>
    <x:t xml:space="preserve">Mục</x:t>
  </x:si>
  <x:si>
    <x:t xml:space="preserve">Tiêu chí</x:t>
  </x:si>
  <x:si>
    <x:t xml:space="preserve">Điểm tối đa</x:t>
  </x:si>
  <x:si>
    <x:t xml:space="preserve">Điểm tự chấm</x:t>
  </x:si>
  <x:si>
    <x:t xml:space="preserve">1</x:t>
  </x:si>
  <x:si>
    <x:t xml:space="preserve">Thị trường việc làm 2026+ (10 việc x 3 điểm + tác động AI)</x:t>
  </x:si>
  <x:si>
    <x:t xml:space="preserve">Đủ 10 việc làm; cần kiểm tra lại bằng chứng trước khi nộp</x:t>
  </x:si>
  <x:si>
    <x:t xml:space="preserve">2</x:t>
  </x:si>
  <x:si>
    <x:t xml:space="preserve">Defect phần mềm 2022-2026 (20 defect)</x:t>
  </x:si>
  <x:si>
    <x:t xml:space="preserve">Đủ D01-D20</x:t>
  </x:si>
  <x:si>
    <x:t xml:space="preserve">3</x:t>
  </x:si>
  <x:si>
    <x:t xml:space="preserve">Thiết kế kiểm thử sản phẩm vật lý (15 TC + 5 video)</x:t>
  </x:si>
  <x:si>
    <x:t xml:space="preserve">AI-1</x:t>
  </x:si>
  <x:si>
    <x:t xml:space="preserve">[AI-02] Báo cáo kiểm toán AI 5 mục đã đính kèm</x:t>
  </x:si>
  <x:si>
    <x:t xml:space="preserve">AI-02 Audit Report bằng Markdown/PDF đã có trong thư mục AI Template</x:t>
  </x:si>
  <x:si>
    <x:t xml:space="preserve">AI-2</x:t>
  </x:si>
  <x:si>
    <x:t xml:space="preserve">Phê bình AI 200-300 từ + [AI-03] khai báo đã đính kèm</x:t>
  </x:si>
  <x:si>
    <x:t xml:space="preserve">Phần phê bình AI đã bổ sung trong main report; AI-03 bằng Markdown/PDF đã có</x:t>
  </x:si>
  <x:si>
    <x:t xml:space="preserve">AI-3</x:t>
  </x:si>
  <x:si>
    <x:t xml:space="preserve">[AI-05] Checklist + bằng chứng chống gian lận AI</x:t>
  </x:si>
  <x:si>
    <x:t xml:space="preserve">Tổng</x:t>
  </x:si>
</x:sst>
</file>

<file path=xl/styles.xml><?xml version="1.0" encoding="utf-8"?>
<x:styleSheet xmlns:x="http://schemas.openxmlformats.org/spreadsheetml/2006/main">
  <x:fonts count="10">
    <x:font>
      <x:sz val="11"/>
      <x:name val="Carlito"/>
    </x:font>
    <x:font>
      <x:b/>
      <x:sz val="10"/>
      <x:color rgb="FFFFFFFF"/>
      <x:name val="Arial"/>
    </x:font>
    <x:font>
      <x:sz val="12"/>
      <x:color theme="10"/>
      <x:name val="Calibri"/>
    </x:font>
    <x:font>
      <x:sz val="10"/>
      <x:color rgb="FF1F1F1F"/>
      <x:name val="Arial"/>
    </x:font>
    <x:font>
      <x:b/>
      <x:sz val="10"/>
      <x:color rgb="FF1F1F1F"/>
      <x:name val="Arial"/>
    </x:font>
    <x:font>
      <x:sz val="11"/>
      <x:name val="Carlito"/>
    </x:font>
    <x:font>
      <x:sz val="11"/>
      <x:color theme="10"/>
      <x:name val="Carlito"/>
    </x:font>
    <x:font>
      <x:sz val="10"/>
      <x:name val="Arial"/>
    </x:font>
    <x:font>
      <x:sz val="10"/>
      <x:color theme="10"/>
      <x:name val="Arial"/>
    </x:font>
    <x:font>
      <x:sz val="10"/>
      <x:color rgb="FF1F1F1F"/>
      <x:name val="Arial"/>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3">
    <x:border/>
    <x:border>
      <x:left style="thin">
        <x:color rgb="FFD9E2F3"/>
      </x:left>
      <x:right style="thin">
        <x:color rgb="FFD9E2F3"/>
      </x:right>
      <x:top style="thin">
        <x:color rgb="FFD9E2F3"/>
      </x:top>
      <x:bottom style="thin">
        <x:color rgb="FFD9E2F3"/>
      </x:bottom>
    </x:border>
    <x:border/>
  </x:borders>
  <x:cellStyleXfs count="4">
    <x:xf numFmtId="0" fontId="0" fillId="0" borderId="0"/>
    <x:xf numFmtId="0" fontId="2" fillId="0" borderId="2"/>
    <x:xf numFmtId="0" fontId="5" fillId="0" borderId="0"/>
    <x:xf numFmtId="0" fontId="6" fillId="0" borderId="0" applyNumberFormat="0" applyFill="0" applyBorder="0" applyAlignment="0" applyProtection="0"/>
  </x:cellStyleXfs>
  <x:cellXfs count="23">
    <x:xf numFmtId="0" fontId="0" fillId="0" borderId="0" xfId="0"/>
    <x:xf numFmtId="0" fontId="0" fillId="0" borderId="0" xfId="2" applyFont="1" applyAlignment="1">
      <x:alignment vertical="top" wrapText="1"/>
    </x:xf>
    <x:xf numFmtId="0" fontId="3" fillId="0" borderId="1" xfId="2" applyFont="1" applyBorder="1" applyAlignment="1">
      <x:alignment vertical="top" wrapText="1"/>
    </x:xf>
    <x:xf numFmtId="0" fontId="1" fillId="3" borderId="1" xfId="2" applyFont="1" applyFill="1" applyBorder="1" applyAlignment="1">
      <x:alignment horizontal="center" vertical="center" wrapText="1"/>
    </x:xf>
    <x:xf numFmtId="0" fontId="3" fillId="0" borderId="1" xfId="2" applyFont="1" applyBorder="1" applyAlignment="1">
      <x:alignment horizontal="center" vertical="top" wrapText="1"/>
    </x:xf>
    <x:xf numFmtId="0" fontId="4" fillId="0" borderId="1" xfId="2" applyFont="1" applyBorder="1" applyAlignment="1">
      <x:alignment horizontal="center" vertical="top" wrapText="1"/>
    </x:xf>
    <x:xf numFmtId="0" fontId="4" fillId="0" borderId="1" xfId="2" applyFont="1" applyBorder="1" applyAlignment="1">
      <x:alignment vertical="top" wrapText="1"/>
    </x:xf>
    <x:xf numFmtId="0" fontId="1" fillId="2" borderId="1" xfId="2" applyFont="1" applyFill="1" applyBorder="1" applyAlignment="1">
      <x:alignment horizontal="center" vertical="center" wrapText="1"/>
    </x:xf>
    <x:xf numFmtId="0" fontId="3" fillId="0" borderId="1" xfId="2" applyFont="1" applyBorder="1" applyAlignment="1">
      <x:alignment horizontal="center" vertical="center" wrapText="1"/>
    </x:xf>
    <x:xf numFmtId="0" fontId="3" fillId="0" borderId="1" xfId="2" applyFont="1" applyBorder="1" applyAlignment="1">
      <x:alignment vertical="center" wrapText="1"/>
    </x:xf>
    <x:xf numFmtId="0" fontId="1" fillId="2" borderId="1" xfId="2" applyFont="1" applyFill="1" applyBorder="1" applyAlignment="1">
      <x:alignment horizontal="center" vertical="top" wrapText="1"/>
    </x:xf>
    <x:xf numFmtId="0" fontId="0" fillId="0" borderId="0" xfId="2" applyFont="1" applyAlignment="1">
      <x:alignment horizontal="center" vertical="center" wrapText="1"/>
    </x:xf>
    <x:xf numFmtId="0" fontId="7" fillId="0" borderId="0" xfId="2" applyFont="1" applyAlignment="1">
      <x:alignment horizontal="center" vertical="center" wrapText="1"/>
    </x:xf>
    <x:xf numFmtId="0" fontId="8" fillId="0" borderId="0" xfId="3" applyFont="1" applyAlignment="1">
      <x:alignment vertical="center" wrapText="1"/>
    </x:xf>
    <x:xf numFmtId="0" fontId="7" fillId="0" borderId="0" xfId="2" applyFont="1" applyAlignment="1">
      <x:alignment vertical="center" wrapText="1"/>
    </x:xf>
    <x:xf numFmtId="0" fontId="9" fillId="0" borderId="1" xfId="2" applyFont="1" applyBorder="1" applyAlignment="1">
      <x:alignment horizontal="center" vertical="top" wrapText="1"/>
    </x:xf>
    <x:xf numFmtId="0" fontId="1" fillId="2" borderId="1" xfId="0" applyNumberFormat="1" applyFont="1" applyFill="1" applyBorder="1" applyAlignment="1">
      <x:alignment horizontal="center" vertical="center" wrapText="1"/>
    </x:xf>
    <x:xf numFmtId="0" fontId="3" fillId="0"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4" fillId="0" borderId="1" xfId="0" applyNumberFormat="1" applyFont="1" applyFill="1" applyBorder="1" applyAlignment="1">
      <x:alignment vertical="top" wrapText="1"/>
    </x:xf>
  </x:cellXfs>
  <x:cellStyles count="4">
    <x:cellStyle name="Bình thường" xfId="0"/>
    <x:cellStyle name="Hyperlink" xfId="1"/>
    <x:cellStyle name="Normal" xfId="2"/>
    <x:cellStyle name="Siêu kết nối" xfId="3"/>
  </x:cellStyles>
  <x:dxfs count="6">
    <x:dxf>
      <x:font>
        <x:color rgb="FF7F6000"/>
      </x:font>
      <x:fill>
        <x:patternFill>
          <x:bgColor rgb="FFFFF2CC"/>
        </x:patternFill>
      </x:fill>
    </x:dxf>
    <x:dxf>
      <x:font>
        <x:b/>
        <x:color rgb="FF006100"/>
      </x:font>
      <x:fill>
        <x:patternFill>
          <x:bgColor rgb="FFE2F0D9"/>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006100"/>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52a9aaec904e61" /><Relationship Type="http://schemas.openxmlformats.org/officeDocument/2006/relationships/theme" Target="/xl/theme/theme1.xml" Id="R54bd840e99d441be" /><Relationship Type="http://schemas.openxmlformats.org/officeDocument/2006/relationships/sharedStrings" Target="/xl/sharedStrings.xml" Id="R4c35a24ce46d445d" /><Relationship Type="http://schemas.openxmlformats.org/officeDocument/2006/relationships/worksheet" Target="/xl/worksheets/sheet1.xml" Id="Rcc60f1f1452d4df2" /><Relationship Type="http://schemas.openxmlformats.org/officeDocument/2006/relationships/worksheet" Target="/xl/worksheets/sheet2.xml" Id="R1bdddef905f54a8d" /><Relationship Type="http://schemas.openxmlformats.org/officeDocument/2006/relationships/worksheet" Target="/xl/worksheets/sheet3.xml" Id="R483524aeb8da44b6" /><Relationship Type="http://schemas.openxmlformats.org/officeDocument/2006/relationships/worksheet" Target="/xl/worksheets/sheet4.xml" Id="R13053d512d4b4b79" /><Relationship Type="http://schemas.openxmlformats.org/officeDocument/2006/relationships/worksheet" Target="/xl/worksheets/sheet5.xml" Id="R375e7e1e344c48de" /><Relationship Type="http://schemas.openxmlformats.org/officeDocument/2006/relationships/worksheet" Target="/xl/worksheets/sheet6.xml" Id="R8ba103e8295e43bf" /><Relationship Type="http://schemas.openxmlformats.org/officeDocument/2006/relationships/worksheet" Target="/xl/worksheets/sheet7.xml" Id="Red43c0211cc84572" /></Relationships>
</file>

<file path=xl/tables/table1.xml><?xml version="1.0" encoding="utf-8"?>
<x:table xmlns:x="http://schemas.openxmlformats.org/spreadsheetml/2006/main" id="1" name="TongQuanTable" displayName="TongQuanTable" ref="A1:D11" totalsRowShown="0">
  <x:autoFilter ref="A1:D11"/>
  <x:tableColumns count="4">
    <x:tableColumn id="1" name="Hạng mục"/>
    <x:tableColumn id="2" name="Giá trị"/>
    <x:tableColumn id="3" name="Yêu cầu"/>
    <x:tableColumn id="4" name="Trạng thái"/>
  </x:tableColumns>
  <x:tableStyleInfo name="TableStyleMedium2" showFirstColumn="0" showLastColumn="0" showRowStripes="1" showColumnStripes="0"/>
</x:table>
</file>

<file path=xl/tables/table2.xml><?xml version="1.0" encoding="utf-8"?>
<x:table xmlns:x="http://schemas.openxmlformats.org/spreadsheetml/2006/main" id="2" name="TestCasesTable" displayName="TestCasesTable" ref="A1:U16" totalsRowShown="0">
  <x:autoFilter ref="A1:U16"/>
  <x:tableColumns count="21">
    <x:tableColumn id="1" name="TC ID"/>
    <x:tableColumn id="2" name="Tên test case"/>
    <x:tableColumn id="3" name="Nhóm kiểm thử"/>
    <x:tableColumn id="4" name="Mức ưu tiên"/>
    <x:tableColumn id="5" name="Edge case?"/>
    <x:tableColumn id="6" name="Objective"/>
    <x:tableColumn id="7" name="Preconditions"/>
    <x:tableColumn id="8" name="Input"/>
    <x:tableColumn id="9" name="Steps"/>
    <x:tableColumn id="10" name="Expected Result"/>
    <x:tableColumn id="11" name="Pass Criteria"/>
    <x:tableColumn id="12" name="Fail Criteria"/>
    <x:tableColumn id="13" name="Điều kiện dừng test"/>
    <x:tableColumn id="14" name="Actual Result"/>
    <x:tableColumn id="15" name="Verdict"/>
    <x:tableColumn id="16" name="Video ID"/>
    <x:tableColumn id="17" name="Trạng thái video"/>
    <x:tableColumn id="18" name="Link YouTube Unlisted"/>
    <x:tableColumn id="19" name="Defect ID"/>
    <x:tableColumn id="20" name="Link GitHub Issue"/>
    <x:tableColumn id="21" name="Ghi chú"/>
  </x:tableColumns>
  <x:tableStyleInfo name="TableStyleMedium2" showFirstColumn="0" showLastColumn="0" showRowStripes="1" showColumnStripes="0"/>
</x:table>
</file>

<file path=xl/tables/table3.xml><?xml version="1.0" encoding="utf-8"?>
<x:table xmlns:x="http://schemas.openxmlformats.org/spreadsheetml/2006/main" id="3" name="VideoLinksTable" displayName="VideoLinksTable" ref="A1:G11" totalsRowShown="0">
  <x:autoFilter ref="A1:G11"/>
  <x:tableColumns count="7">
    <x:tableColumn id="1" name="Video ID"/>
    <x:tableColumn id="2" name="Test case liên quan"/>
    <x:tableColumn id="3" name="Trạng thái"/>
    <x:tableColumn id="4" name="Link YouTube Unlisted"/>
    <x:tableColumn id="5" name="Thời lượng &lt;=60s?"/>
    <x:tableColumn id="6" name="Có giọng nói sinh viên?"/>
    <x:tableColumn id="7" name="Kết quả/Verdict"/>
  </x:tableColumns>
  <x:tableStyleInfo name="TableStyleMedium2" showFirstColumn="0" showLastColumn="0" showRowStripes="1" showColumnStripes="0"/>
</x:table>
</file>

<file path=xl/tables/table4.xml><?xml version="1.0" encoding="utf-8"?>
<x:table xmlns:x="http://schemas.openxmlformats.org/spreadsheetml/2006/main" id="4" name="DefectLogTable" displayName="DefectLogTable" ref="A1:M6" totalsRowShown="0">
  <x:autoFilter ref="A1:M6"/>
  <x:tableColumns count="13">
    <x:tableColumn id="1" name="Defect ID"/>
    <x:tableColumn id="2" name="TC liên quan"/>
    <x:tableColumn id="3" name="Tiêu đề defect"/>
    <x:tableColumn id="4" name="Preconditions"/>
    <x:tableColumn id="5" name="Steps to Reproduce"/>
    <x:tableColumn id="6" name="Expected Result"/>
    <x:tableColumn id="7" name="Actual Result"/>
    <x:tableColumn id="8" name="Reproducibility"/>
    <x:tableColumn id="9" name="Severity"/>
    <x:tableColumn id="10" name="Evidence/Video ID"/>
    <x:tableColumn id="11" name="Link GitHub Issue"/>
    <x:tableColumn id="12" name="Trạng thái"/>
    <x:tableColumn id="13" name="Ghi chú"/>
  </x:tableColumns>
  <x:tableStyleInfo name="TableStyleMedium2" showFirstColumn="0" showLastColumn="0" showRowStripes="1" showColumnStripes="0"/>
</x:table>
</file>

<file path=xl/tables/table5.xml><?xml version="1.0" encoding="utf-8"?>
<x:table xmlns:x="http://schemas.openxmlformats.org/spreadsheetml/2006/main" id="5" name="ChecklistTable" displayName="ChecklistTable" ref="A1:D18" totalsRowShown="0">
  <x:autoFilter ref="A1:D18"/>
  <x:tableColumns count="4">
    <x:tableColumn id="1" name="Hạng mục checklist"/>
    <x:tableColumn id="2" name="Trạng thái"/>
    <x:tableColumn id="3" name="Người phụ trách"/>
    <x:tableColumn id="4" name="Ghi chú"/>
  </x:tableColumns>
  <x:tableStyleInfo name="TableStyleMedium2" showFirstColumn="0" showLastColumn="0" showRowStripes="1" showColumnStripes="0"/>
</x:table>
</file>

<file path=xl/tables/table6.xml><?xml version="1.0" encoding="utf-8"?>
<x:table xmlns:x="http://schemas.openxmlformats.org/spreadsheetml/2006/main" id="6" name="TraceabilityTable" displayName="TraceabilityTable" ref="A1:D18" totalsRowShown="0">
  <x:autoFilter ref="A1:D18"/>
  <x:tableColumns count="4">
    <x:tableColumn id="1" name="Yêu cầu / Artifact"/>
    <x:tableColumn id="2" name="Evidence/File"/>
    <x:tableColumn id="3" name="Trạng thái hiện tại"/>
    <x:tableColumn id="4" name="Ghi chú"/>
  </x:tableColumns>
  <x:tableStyleInfo name="TableStyleMedium2" showFirstColumn="0" showLastColumn="0" showRowStripes="1" showColumnStripes="0"/>
</x:table>
</file>

<file path=xl/tables/table7.xml><?xml version="1.0" encoding="utf-8"?>
<x:table xmlns:x="http://schemas.openxmlformats.org/spreadsheetml/2006/main" id="7" name="SelfAssessmentTable" displayName="SelfAssessmentTable" ref="A1:E8" totalsRowShown="0">
  <x:autoFilter ref="A1:E8"/>
  <x:tableColumns count="5">
    <x:tableColumn id="1" name="Mục"/>
    <x:tableColumn id="2" name="Tiêu chí"/>
    <x:tableColumn id="3" name="Điểm tối đa"/>
    <x:tableColumn id="4" name="Điểm tự chấm"/>
    <x:tableColumn id="5" name="Ghi chú"/>
  </x:tableColumns>
  <x:tableStyleInfo name="TableStyleMedium2" showFirstColumn="0" showLastColumn="0" showRowStripes="1" showColumnStripes="0"/>
</x:table>
</file>

<file path=xl/theme/theme1.xml><?xml version="1.0" encoding="utf-8"?>
<a:theme xmlns:a="http://schemas.openxmlformats.org/drawingml/2006/main" name="HW01">
  <a:themeElements>
    <a:clrScheme name="HW01">
      <a:dk1>
        <a:srgbClr val="111827"/>
      </a:dk1>
      <a:lt1>
        <a:srgbClr val="FFFFFF"/>
      </a:lt1>
      <a:dk2>
        <a:srgbClr val="0E2841"/>
      </a:dk2>
      <a:lt2>
        <a:srgbClr val="F3F6FA"/>
      </a:lt2>
      <a:accent1>
        <a:srgbClr val="1F4E79"/>
      </a:accent1>
      <a:accent2>
        <a:srgbClr val="2E7D32"/>
      </a:accent2>
      <a:accent3>
        <a:srgbClr val="C2410C"/>
      </a:accent3>
      <a:accent4>
        <a:srgbClr val="6B7280"/>
      </a:accent4>
      <a:accent5>
        <a:srgbClr val="A02B93"/>
      </a:accent5>
      <a:accent6>
        <a:srgbClr val="4EA72E"/>
      </a:accent6>
      <a:hlink>
        <a:srgbClr val="2563EB"/>
      </a:hlink>
      <a:folHlink>
        <a:srgbClr val="7C3AED"/>
      </a:folHlink>
    </a:clrScheme>
    <a:fontScheme name="Office">
      <a:majorFont>
        <a:latin typeface="Calibri Light"/>
        <a:ea typeface="Calibri Light"/>
        <a:cs typeface="Calibri Light"/>
      </a:majorFont>
      <a:minorFont>
        <a:latin typeface="Calibri"/>
        <a:ea typeface="Calibri"/>
        <a:cs typeface="Calibri"/>
      </a:minorFont>
    </a:fontScheme>
    <a:fmtScheme name="HW01">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093408195f64135" /></Relationships>
</file>

<file path=xl/worksheets/_rels/sheet2.xml.rels>&#65279;<?xml version="1.0" encoding="utf-8"?><Relationships xmlns="http://schemas.openxmlformats.org/package/2006/relationships"><Relationship Type="http://schemas.openxmlformats.org/officeDocument/2006/relationships/hyperlink" Target="https://youtube.com/shorts/3CMP3iIHS9o" TargetMode="External" Id="R4889516b855c464d" /><Relationship Type="http://schemas.openxmlformats.org/officeDocument/2006/relationships/hyperlink" Target="https://github.com/thangak18/HW01-QAQC-Mouse-Testing/issues/1" TargetMode="External" Id="Re260230cbfe64ae2" /><Relationship Type="http://schemas.openxmlformats.org/officeDocument/2006/relationships/hyperlink" Target="https://youtube.com/shorts/b6bOtu37ajE" TargetMode="External" Id="R10e198e4de824719" /><Relationship Type="http://schemas.openxmlformats.org/officeDocument/2006/relationships/hyperlink" Target="https://github.com/thangak18/HW01-QAQC-Mouse-Testing/issues/1" TargetMode="External" Id="Rfa0589f8ca1344c7" /><Relationship Type="http://schemas.openxmlformats.org/officeDocument/2006/relationships/hyperlink" Target="https://youtube.com/shorts/EFAPSEX-c2E" TargetMode="External" Id="R939cb046286847f7" /><Relationship Type="http://schemas.openxmlformats.org/officeDocument/2006/relationships/hyperlink" Target="https://github.com/thangak18/HW01-QAQC-Mouse-Testing/issues/1" TargetMode="External" Id="R5c19604c07d54de3" /><Relationship Type="http://schemas.openxmlformats.org/officeDocument/2006/relationships/hyperlink" Target="https://youtube.com/shorts/p8jwLAn1duk" TargetMode="External" Id="Rebe4a5cb777d4914" /><Relationship Type="http://schemas.openxmlformats.org/officeDocument/2006/relationships/hyperlink" Target="https://github.com/thangak18/HW01-QAQC-Mouse-Testing/issues/1" TargetMode="External" Id="R92077fe4a99f463b" /><Relationship Type="http://schemas.openxmlformats.org/officeDocument/2006/relationships/hyperlink" Target="https://youtube.com/shorts/z_PfUJBP1SM" TargetMode="External" Id="Rd2bc0f24022a464b" /><Relationship Type="http://schemas.openxmlformats.org/officeDocument/2006/relationships/hyperlink" Target="https://github.com/thangak18/HW01-QAQC-Mouse-Testing/issues/1" TargetMode="External" Id="R3e4cd6aa30564c45" /><Relationship Type="http://schemas.openxmlformats.org/officeDocument/2006/relationships/hyperlink" Target="https://github.com/thangak18/HW01-QAQC-Mouse-Testing/issues/1" TargetMode="External" Id="Rb60f76b7d3f44dfa" /><Relationship Type="http://schemas.openxmlformats.org/officeDocument/2006/relationships/hyperlink" Target="https://github.com/thangak18/HW01-QAQC-Mouse-Testing/issues/1" TargetMode="External" Id="R0e649e5e38d14d2c" /><Relationship Type="http://schemas.openxmlformats.org/officeDocument/2006/relationships/hyperlink" Target="https://github.com/thangak18/HW01-QAQC-Mouse-Testing/issues/1" TargetMode="External" Id="R84da43c44f294de4" /><Relationship Type="http://schemas.openxmlformats.org/officeDocument/2006/relationships/hyperlink" Target="https://github.com/thangak18/HW01-QAQC-Mouse-Testing/issues/1" TargetMode="External" Id="Raa7c5f1c4c3e4fa0" /><Relationship Type="http://schemas.openxmlformats.org/officeDocument/2006/relationships/hyperlink" Target="https://github.com/thangak18/HW01-QAQC-Mouse-Testing/issues/1" TargetMode="External" Id="Ra118bc61f6ea41dc" /><Relationship Type="http://schemas.openxmlformats.org/officeDocument/2006/relationships/hyperlink" Target="https://github.com/thangak18/HW01-QAQC-Mouse-Testing/issues/1" TargetMode="External" Id="Re857a85c97af4269" /><Relationship Type="http://schemas.openxmlformats.org/officeDocument/2006/relationships/hyperlink" Target="https://github.com/thangak18/HW01-QAQC-Mouse-Testing/issues/1" TargetMode="External" Id="Rd150d567d2bf40cf" /><Relationship Type="http://schemas.openxmlformats.org/officeDocument/2006/relationships/hyperlink" Target="https://github.com/thangak18/HW01-QAQC-Mouse-Testing/issues/1" TargetMode="External" Id="Ra150db120caf4dee" /><Relationship Type="http://schemas.openxmlformats.org/officeDocument/2006/relationships/hyperlink" Target="https://github.com/thangak18/HW01-QAQC-Mouse-Testing/issues/1" TargetMode="External" Id="R65864619e2d345db" /><Relationship Type="http://schemas.openxmlformats.org/officeDocument/2006/relationships/hyperlink" Target="https://github.com/thangak18/HW01-QAQC-Mouse-Testing/issues/1" TargetMode="External" Id="Rfad4c00604c54790" /><Relationship Type="http://schemas.openxmlformats.org/officeDocument/2006/relationships/table" Target="/xl/tables/table2.xml" Id="Raee865f5c0734889" /></Relationships>
</file>

<file path=xl/worksheets/_rels/sheet3.xml.rels>&#65279;<?xml version="1.0" encoding="utf-8"?><Relationships xmlns="http://schemas.openxmlformats.org/package/2006/relationships"><Relationship Type="http://schemas.openxmlformats.org/officeDocument/2006/relationships/hyperlink" Target="https://youtube.com/shorts/3CMP3iIHS9o" TargetMode="External" Id="R93b202c4f2d649ec" /><Relationship Type="http://schemas.openxmlformats.org/officeDocument/2006/relationships/hyperlink" Target="https://youtube.com/shorts/b6bOtu37ajE" TargetMode="External" Id="Raa35269576d84e4b" /><Relationship Type="http://schemas.openxmlformats.org/officeDocument/2006/relationships/hyperlink" Target="https://youtube.com/shorts/EFAPSEX-c2E" TargetMode="External" Id="Rae7d5aec175d4506" /><Relationship Type="http://schemas.openxmlformats.org/officeDocument/2006/relationships/hyperlink" Target="https://youtube.com/shorts/p8jwLAn1duk" TargetMode="External" Id="R08faa16bbc004cd4" /><Relationship Type="http://schemas.openxmlformats.org/officeDocument/2006/relationships/hyperlink" Target="https://youtube.com/shorts/z_PfUJBP1SM" TargetMode="External" Id="R59b3a707fd964254" /><Relationship Type="http://schemas.openxmlformats.org/officeDocument/2006/relationships/hyperlink" Target="https://youtube.com/shorts/G0JCx2u7Lpk?feature=share" TargetMode="External" Id="R78d8c4d2200e4d6b" /><Relationship Type="http://schemas.openxmlformats.org/officeDocument/2006/relationships/table" Target="/xl/tables/table3.xml" Id="R426bc8d5afc84dfb" /></Relationships>
</file>

<file path=xl/worksheets/_rels/sheet4.xml.rels>&#65279;<?xml version="1.0" encoding="utf-8"?><Relationships xmlns="http://schemas.openxmlformats.org/package/2006/relationships"><Relationship Type="http://schemas.openxmlformats.org/officeDocument/2006/relationships/hyperlink" Target="https://github.com/thangak18/HW01-QAQC-Mouse-Testing/issues/1" TargetMode="External" Id="R3cf759b155f146bc" /><Relationship Type="http://schemas.openxmlformats.org/officeDocument/2006/relationships/hyperlink" Target="https://github.com/thangak18/HW01-QAQC-Mouse-Testing/issues/1" TargetMode="External" Id="Rc391333bd7474742" /><Relationship Type="http://schemas.openxmlformats.org/officeDocument/2006/relationships/hyperlink" Target="https://github.com/thangak18/HW01-QAQC-Mouse-Testing/issues/1" TargetMode="External" Id="R9cdcdb714711499a" /><Relationship Type="http://schemas.openxmlformats.org/officeDocument/2006/relationships/hyperlink" Target="https://github.com/thangak18/HW01-QAQC-Mouse-Testing/issues/1" TargetMode="External" Id="R7e5c7bbbdb9d42a4" /><Relationship Type="http://schemas.openxmlformats.org/officeDocument/2006/relationships/hyperlink" Target="https://github.com/thangak18/HW01-QAQC-Mouse-Testing/issues/1" TargetMode="External" Id="R2e11a41bbc4445f9" /><Relationship Type="http://schemas.openxmlformats.org/officeDocument/2006/relationships/table" Target="/xl/tables/table4.xml" Id="R94bacab5e67b4f73" /></Relationships>
</file>

<file path=xl/worksheets/_rels/sheet5.xml.rels>&#65279;<?xml version="1.0" encoding="utf-8"?><Relationships xmlns="http://schemas.openxmlformats.org/package/2006/relationships"><Relationship Type="http://schemas.openxmlformats.org/officeDocument/2006/relationships/hyperlink" Target="https://github.com/thangak18/HW01-QAQC-Mouse-Testing" TargetMode="External" Id="R8119f3d0edb3430f" /><Relationship Type="http://schemas.openxmlformats.org/officeDocument/2006/relationships/table" Target="/xl/tables/table5.xml" Id="Rc124b0776cc54742" /></Relationships>
</file>

<file path=xl/worksheets/_rels/sheet6.xml.rels>&#65279;<?xml version="1.0" encoding="utf-8"?><Relationships xmlns="http://schemas.openxmlformats.org/package/2006/relationships"><Relationship Type="http://schemas.openxmlformats.org/officeDocument/2006/relationships/hyperlink" Target="https://github.com/thangak18/HW01-QAQC-Mouse-Testing" TargetMode="External" Id="Rcd0a8b1c31434463" /><Relationship Type="http://schemas.openxmlformats.org/officeDocument/2006/relationships/table" Target="/xl/tables/table6.xml" Id="R15d2c4feb8374c67" /></Relationships>
</file>

<file path=xl/worksheets/_rels/sheet7.xml.rels>&#65279;<?xml version="1.0" encoding="utf-8"?><Relationships xmlns="http://schemas.openxmlformats.org/package/2006/relationships"><Relationship Type="http://schemas.openxmlformats.org/officeDocument/2006/relationships/table" Target="/xl/tables/table7.xml" Id="R417c792936184c53"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35" customWidth="1"/>
    <x:col min="2" max="3" width="16" customWidth="1"/>
    <x:col min="4" max="4" width="62" customWidth="1"/>
  </x:cols>
  <x:sheetData>
    <x:row r="1" ht="15" customHeight="1">
      <x:c r="A1" s="3" t="s">
        <x:v>0</x:v>
      </x:c>
      <x:c r="B1" s="3" t="s">
        <x:v>1</x:v>
      </x:c>
      <x:c r="C1" s="3" t="s">
        <x:v>2</x:v>
      </x:c>
      <x:c r="D1" s="3" t="s">
        <x:v>3</x:v>
      </x:c>
    </x:row>
    <x:row r="2" ht="15" customHeight="1">
      <x:c r="A2" s="2" t="s">
        <x:v>4</x:v>
      </x:c>
      <x:c r="B2" s="4">
        <x:v>10</x:v>
      </x:c>
      <x:c r="C2" s="4">
        <x:v>10</x:v>
      </x:c>
      <x:c r="D2" s="2" t="s">
        <x:v>5</x:v>
      </x:c>
    </x:row>
    <x:row r="3" ht="15" customHeight="1">
      <x:c r="A3" s="2" t="s">
        <x:v>6</x:v>
      </x:c>
      <x:c r="B3" s="4">
        <x:v>4</x:v>
      </x:c>
      <x:c r="C3" s="4" t="s">
        <x:v>7</x:v>
      </x:c>
      <x:c r="D3" s="2" t="s">
        <x:v>8</x:v>
      </x:c>
    </x:row>
    <x:row r="4" ht="15" customHeight="1">
      <x:c r="A4" s="2" t="s">
        <x:v>9</x:v>
      </x:c>
      <x:c r="B4" s="4">
        <x:v>20</x:v>
      </x:c>
      <x:c r="C4" s="4">
        <x:v>20</x:v>
      </x:c>
      <x:c r="D4" s="2" t="s">
        <x:v>10</x:v>
      </x:c>
    </x:row>
    <x:row r="5" ht="15" customHeight="1">
      <x:c r="A5" s="2" t="s">
        <x:v>11</x:v>
      </x:c>
      <x:c r="B5" s="4">
        <x:v>7</x:v>
      </x:c>
      <x:c r="C5" s="4" t="s">
        <x:v>12</x:v>
      </x:c>
      <x:c r="D5" s="2" t="s">
        <x:v>13</x:v>
      </x:c>
    </x:row>
    <x:row r="6" ht="15" customHeight="1">
      <x:c r="A6" s="2" t="s">
        <x:v>14</x:v>
      </x:c>
      <x:c r="B6" s="4" t="n">
        <x:f>COUNTA('Ca kiểm thử'!$A$2:$A$16)</x:f>
        <x:v>15</x:v>
      </x:c>
      <x:c r="C6" s="4">
        <x:v>15</x:v>
      </x:c>
      <x:c r="D6" s="2" t="s">
        <x:v>15</x:v>
      </x:c>
    </x:row>
    <x:row r="7" ht="15" customHeight="1">
      <x:c r="A7" s="2" t="s">
        <x:v>16</x:v>
      </x:c>
      <x:c r="B7" s="4" t="n">
        <x:f>COUNTIF('Ca kiểm thử'!$O$2:$O$16,"&lt;&gt;Not Executed")</x:f>
        <x:v>10</x:v>
      </x:c>
      <x:c r="C7" s="4" t="s">
        <x:v>12</x:v>
      </x:c>
      <x:c r="D7" s="2" t="s">
        <x:v>17</x:v>
      </x:c>
    </x:row>
    <x:row r="8" ht="15" customHeight="1">
      <x:c r="A8" s="2" t="s">
        <x:v>18</x:v>
      </x:c>
      <x:c r="B8" s="4" t="n">
        <x:f>COUNTIF('Ca kiểm thử'!$E$2:$E$16,"Có")</x:f>
        <x:v>4</x:v>
      </x:c>
      <x:c r="C8" s="4" t="s">
        <x:v>7</x:v>
      </x:c>
      <x:c r="D8" s="2" t="s">
        <x:v>19</x:v>
      </x:c>
    </x:row>
    <x:row r="9" ht="15" customHeight="1">
      <x:c r="A9" s="2" t="s">
        <x:v>20</x:v>
      </x:c>
      <x:c r="B9" s="4" t="n">
        <x:f>COUNTA('Nhật ký defect'!$A$2:$A$100)</x:f>
        <x:v>5</x:v>
      </x:c>
      <x:c r="C9" s="4" t="s">
        <x:v>21</x:v>
      </x:c>
      <x:c r="D9" s="2" t="str">
        <x:v>Đạt; 5 defect thực tế có video và GitHub Issue; còn thiếu một số chi tiết tái hiện</x:v>
      </x:c>
    </x:row>
    <x:row r="10" ht="15" customHeight="1">
      <x:c r="A10" s="2" t="s">
        <x:v>22</x:v>
      </x:c>
      <x:c r="B10" s="4" t="n">
        <x:v>5</x:v>
      </x:c>
      <x:c r="C10" s="4" t="s">
        <x:v>23</x:v>
      </x:c>
      <x:c r="D10" s="2" t="str">
        <x:v>Đạt; repository Public và đã tạo GitHub Issues #1-#5</x:v>
      </x:c>
    </x:row>
    <x:row r="11" ht="15" customHeight="1">
      <x:c r="A11" s="2" t="s">
        <x:v>24</x:v>
      </x:c>
      <x:c r="B11" s="4" t="n">
        <x:f>COUNTIF('Link video'!$F$2:$F$11,"Có")</x:f>
        <x:v>10</x:v>
      </x:c>
      <x:c r="C11" s="4" t="s">
        <x:v>12</x:v>
      </x:c>
      <x:c r="D11" s="2" t="str">
        <x:v>Đạt; 10 video &lt;=60 giây, có giọng nói và ở chế độ Unlisted</x:v>
      </x:c>
    </x:row>
  </x:sheetData>
  <x:pageMargins left="0.7" right="0.7" top="0.75" bottom="0.75" header="0.3" footer="0.3"/>
  <x:tableParts count="1">
    <x:tablePart xmlns:r="http://schemas.openxmlformats.org/officeDocument/2006/relationships" r:id="Rb093408195f64135"/>
  </x:tableParts>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defaultRowHeight="13.800000190734863"/>
  <x:cols>
    <x:col min="1" max="1" width="10" customWidth="1"/>
    <x:col min="2" max="2" width="34" customWidth="1"/>
    <x:col min="3" max="3" width="24" customWidth="1"/>
    <x:col min="4" max="4" width="13" customWidth="1"/>
    <x:col min="5" max="5" width="11" customWidth="1"/>
    <x:col min="6" max="6" width="48" customWidth="1"/>
    <x:col min="7" max="7" width="52" customWidth="1"/>
    <x:col min="8" max="8" width="34" customWidth="1"/>
    <x:col min="9" max="9" width="68" customWidth="1"/>
    <x:col min="10" max="10" width="55" customWidth="1"/>
    <x:col min="11" max="13" width="42" customWidth="1"/>
    <x:col min="14" max="14" width="38" customWidth="1"/>
    <x:col min="15" max="15" width="15" customWidth="1"/>
    <x:col min="16" max="16" width="11" customWidth="1"/>
    <x:col min="17" max="17" width="18" customWidth="1"/>
    <x:col min="18" max="18" width="38" customWidth="1"/>
    <x:col min="19" max="19" width="13" customWidth="1"/>
    <x:col min="20" max="21" width="38" customWidth="1"/>
  </x:cols>
  <x:sheetData>
    <x:row r="1" ht="15" customHeight="1">
      <x:c r="A1" s="3" t="s">
        <x:v>25</x:v>
      </x:c>
      <x:c r="B1" s="3" t="s">
        <x:v>26</x:v>
      </x:c>
      <x:c r="C1" s="3" t="s">
        <x:v>27</x:v>
      </x:c>
      <x:c r="D1" s="3" t="s">
        <x:v>28</x:v>
      </x:c>
      <x:c r="E1" s="3" t="s">
        <x:v>29</x:v>
      </x:c>
      <x:c r="F1" s="3" t="s">
        <x:v>30</x:v>
      </x:c>
      <x:c r="G1" s="3" t="s">
        <x:v>31</x:v>
      </x:c>
      <x:c r="H1" s="3" t="s">
        <x:v>32</x:v>
      </x:c>
      <x:c r="I1" s="3" t="s">
        <x:v>33</x:v>
      </x:c>
      <x:c r="J1" s="3" t="s">
        <x:v>34</x:v>
      </x:c>
      <x:c r="K1" s="3" t="s">
        <x:v>35</x:v>
      </x:c>
      <x:c r="L1" s="3" t="s">
        <x:v>36</x:v>
      </x:c>
      <x:c r="M1" s="3" t="s">
        <x:v>37</x:v>
      </x:c>
      <x:c r="N1" s="3" t="s">
        <x:v>38</x:v>
      </x:c>
      <x:c r="O1" s="3" t="s">
        <x:v>39</x:v>
      </x:c>
      <x:c r="P1" s="3" t="s">
        <x:v>40</x:v>
      </x:c>
      <x:c r="Q1" s="3" t="s">
        <x:v>41</x:v>
      </x:c>
      <x:c r="R1" s="3" t="s">
        <x:v>42</x:v>
      </x:c>
      <x:c r="S1" s="3" t="s">
        <x:v>43</x:v>
      </x:c>
      <x:c r="T1" s="18" t="s">
        <x:v>44</x:v>
      </x:c>
      <x:c r="U1" s="18" t="s">
        <x:v>45</x:v>
      </x:c>
    </x:row>
    <x:row r="2" ht="84" customHeight="1">
      <x:c r="A2" s="4" t="s">
        <x:v>46</x:v>
      </x:c>
      <x:c r="B2" s="4" t="s">
        <x:v>47</x:v>
      </x:c>
      <x:c r="C2" s="4" t="s">
        <x:v>48</x:v>
      </x:c>
      <x:c r="D2" s="4" t="s">
        <x:v>49</x:v>
      </x:c>
      <x:c r="E2" s="4" t="s">
        <x:v>50</x:v>
      </x:c>
      <x:c r="F2" s="2" t="s">
        <x:v>51</x:v>
      </x:c>
      <x:c r="G2" s="2" t="s">
        <x:v>52</x:v>
      </x:c>
      <x:c r="H2" s="2" t="s">
        <x:v>53</x:v>
      </x:c>
      <x:c r="I2" s="2" t="s">
        <x:v>54</x:v>
      </x:c>
      <x:c r="J2" s="2" t="s">
        <x:v>55</x:v>
      </x:c>
      <x:c r="K2" s="2" t="s">
        <x:v>56</x:v>
      </x:c>
      <x:c r="L2" s="2" t="s">
        <x:v>57</x:v>
      </x:c>
      <x:c r="M2" s="2" t="s">
        <x:v>58</x:v>
      </x:c>
      <x:c r="N2" s="2" t="s">
        <x:v>59</x:v>
      </x:c>
      <x:c r="O2" s="4" t="s">
        <x:v>60</x:v>
      </x:c>
      <x:c r="P2" s="4" t="s">
        <x:v>61</x:v>
      </x:c>
      <x:c r="Q2" s="4" t="s">
        <x:v>62</x:v>
      </x:c>
      <x:c r="R2" s="2" t="s">
        <x:v>63</x:v>
      </x:c>
      <x:c r="S2" s="2"/>
      <x:c r="T2" s="17"/>
      <x:c r="U2" s="17"/>
    </x:row>
    <x:row r="3" ht="84" customHeight="1">
      <x:c r="A3" s="4" t="s">
        <x:v>64</x:v>
      </x:c>
      <x:c r="B3" s="4" t="s">
        <x:v>65</x:v>
      </x:c>
      <x:c r="C3" s="4" t="s">
        <x:v>66</x:v>
      </x:c>
      <x:c r="D3" s="4" t="s">
        <x:v>49</x:v>
      </x:c>
      <x:c r="E3" s="4" t="s">
        <x:v>50</x:v>
      </x:c>
      <x:c r="F3" s="2" t="s">
        <x:v>67</x:v>
      </x:c>
      <x:c r="G3" s="2" t="s">
        <x:v>68</x:v>
      </x:c>
      <x:c r="H3" s="2" t="s">
        <x:v>69</x:v>
      </x:c>
      <x:c r="I3" s="2" t="s">
        <x:v>70</x:v>
      </x:c>
      <x:c r="J3" s="2" t="s">
        <x:v>71</x:v>
      </x:c>
      <x:c r="K3" s="2" t="s">
        <x:v>72</x:v>
      </x:c>
      <x:c r="L3" s="2" t="s">
        <x:v>73</x:v>
      </x:c>
      <x:c r="M3" s="2" t="s">
        <x:v>74</x:v>
      </x:c>
      <x:c r="N3" s="2" t="s">
        <x:v>75</x:v>
      </x:c>
      <x:c r="O3" s="4" t="s">
        <x:v>60</x:v>
      </x:c>
      <x:c r="P3" s="4" t="s">
        <x:v>76</x:v>
      </x:c>
      <x:c r="Q3" s="4" t="s">
        <x:v>62</x:v>
      </x:c>
      <x:c r="R3" s="2" t="s">
        <x:v>77</x:v>
      </x:c>
      <x:c r="S3" s="2"/>
      <x:c r="T3" s="17"/>
      <x:c r="U3" s="17"/>
    </x:row>
    <x:row r="4" ht="96" customHeight="1">
      <x:c r="A4" s="4" t="s">
        <x:v>78</x:v>
      </x:c>
      <x:c r="B4" s="4" t="s">
        <x:v>79</x:v>
      </x:c>
      <x:c r="C4" s="4" t="s">
        <x:v>80</x:v>
      </x:c>
      <x:c r="D4" s="4" t="s">
        <x:v>49</x:v>
      </x:c>
      <x:c r="E4" s="4" t="s">
        <x:v>50</x:v>
      </x:c>
      <x:c r="F4" s="2" t="s">
        <x:v>81</x:v>
      </x:c>
      <x:c r="G4" s="2" t="s">
        <x:v>82</x:v>
      </x:c>
      <x:c r="H4" s="2" t="s">
        <x:v>83</x:v>
      </x:c>
      <x:c r="I4" s="2" t="s">
        <x:v>84</x:v>
      </x:c>
      <x:c r="J4" s="2" t="s">
        <x:v>85</x:v>
      </x:c>
      <x:c r="K4" s="2" t="s">
        <x:v>86</x:v>
      </x:c>
      <x:c r="L4" s="2" t="s">
        <x:v>87</x:v>
      </x:c>
      <x:c r="M4" s="2" t="s">
        <x:v>88</x:v>
      </x:c>
      <x:c r="N4" s="2" t="s">
        <x:v>89</x:v>
      </x:c>
      <x:c r="O4" s="4" t="s">
        <x:v>90</x:v>
      </x:c>
      <x:c r="P4" s="4" t="s">
        <x:v>91</x:v>
      </x:c>
      <x:c r="Q4" s="4" t="s">
        <x:v>92</x:v>
      </x:c>
      <x:c r="R4" s="2" t="s">
        <x:v>93</x:v>
      </x:c>
      <x:c r="S4" s="2"/>
      <x:c r="T4" s="17"/>
      <x:c r="U4" s="17"/>
    </x:row>
    <x:row r="5" ht="96" customHeight="1">
      <x:c r="A5" s="4" t="s">
        <x:v>94</x:v>
      </x:c>
      <x:c r="B5" s="4" t="s">
        <x:v>95</x:v>
      </x:c>
      <x:c r="C5" s="4" t="s">
        <x:v>96</x:v>
      </x:c>
      <x:c r="D5" s="4" t="s">
        <x:v>49</x:v>
      </x:c>
      <x:c r="E5" s="4" t="s">
        <x:v>50</x:v>
      </x:c>
      <x:c r="F5" s="2" t="s">
        <x:v>97</x:v>
      </x:c>
      <x:c r="G5" s="2" t="s">
        <x:v>98</x:v>
      </x:c>
      <x:c r="H5" s="2" t="s">
        <x:v>99</x:v>
      </x:c>
      <x:c r="I5" s="2" t="s">
        <x:v>100</x:v>
      </x:c>
      <x:c r="J5" s="2" t="s">
        <x:v>101</x:v>
      </x:c>
      <x:c r="K5" s="2" t="s">
        <x:v>102</x:v>
      </x:c>
      <x:c r="L5" s="2" t="s">
        <x:v>103</x:v>
      </x:c>
      <x:c r="M5" s="2" t="s">
        <x:v>104</x:v>
      </x:c>
      <x:c r="N5" s="2" t="s">
        <x:v>105</x:v>
      </x:c>
      <x:c r="O5" s="4" t="s">
        <x:v>60</x:v>
      </x:c>
      <x:c r="P5" s="4" t="s">
        <x:v>106</x:v>
      </x:c>
      <x:c r="Q5" s="4" t="s">
        <x:v>62</x:v>
      </x:c>
      <x:c r="R5" s="2" t="s">
        <x:v>107</x:v>
      </x:c>
      <x:c r="S5" s="2"/>
      <x:c r="T5" s="17"/>
      <x:c r="U5" s="17"/>
    </x:row>
    <x:row r="6" ht="96" customHeight="1">
      <x:c r="A6" s="4" t="s">
        <x:v>108</x:v>
      </x:c>
      <x:c r="B6" s="4" t="s">
        <x:v>109</x:v>
      </x:c>
      <x:c r="C6" s="4" t="s">
        <x:v>110</x:v>
      </x:c>
      <x:c r="D6" s="4" t="s">
        <x:v>49</x:v>
      </x:c>
      <x:c r="E6" s="4" t="s">
        <x:v>50</x:v>
      </x:c>
      <x:c r="F6" s="2" t="s">
        <x:v>111</x:v>
      </x:c>
      <x:c r="G6" s="2" t="s">
        <x:v>112</x:v>
      </x:c>
      <x:c r="H6" s="2" t="s">
        <x:v>113</x:v>
      </x:c>
      <x:c r="I6" s="2" t="s">
        <x:v>114</x:v>
      </x:c>
      <x:c r="J6" s="2" t="s">
        <x:v>115</x:v>
      </x:c>
      <x:c r="K6" s="2" t="s">
        <x:v>116</x:v>
      </x:c>
      <x:c r="L6" s="2" t="s">
        <x:v>117</x:v>
      </x:c>
      <x:c r="M6" s="2" t="s">
        <x:v>118</x:v>
      </x:c>
      <x:c r="N6" s="2" t="s">
        <x:v>119</x:v>
      </x:c>
      <x:c r="O6" s="4" t="s">
        <x:v>120</x:v>
      </x:c>
      <x:c r="P6" s="4" t="s">
        <x:v>121</x:v>
      </x:c>
      <x:c r="Q6" s="4" t="s">
        <x:v>62</x:v>
      </x:c>
      <x:c r="R6" s="2" t="s">
        <x:v>122</x:v>
      </x:c>
      <x:c r="S6" s="2" t="s">
        <x:v>123</x:v>
      </x:c>
      <x:c r="T6" s="17" t="str">
        <x:v>https://github.com/HuynhDucThinh/Software-Testing-HW01/issues/1</x:v>
      </x:c>
      <x:c r="U6" s="17" t="str">
        <x:v>GitHub Issue #1 đã tạo; defect tái hiện 1/1 lần theo video đã cung cấp.</x:v>
      </x:c>
    </x:row>
    <x:row r="7" ht="84" customHeight="1">
      <x:c r="A7" s="4" t="s">
        <x:v>124</x:v>
      </x:c>
      <x:c r="B7" s="4" t="s">
        <x:v>125</x:v>
      </x:c>
      <x:c r="C7" s="4" t="s">
        <x:v>126</x:v>
      </x:c>
      <x:c r="D7" s="4" t="s">
        <x:v>49</x:v>
      </x:c>
      <x:c r="E7" s="4" t="s">
        <x:v>50</x:v>
      </x:c>
      <x:c r="F7" s="2" t="s">
        <x:v>127</x:v>
      </x:c>
      <x:c r="G7" s="2" t="s">
        <x:v>128</x:v>
      </x:c>
      <x:c r="H7" s="2" t="s">
        <x:v>129</x:v>
      </x:c>
      <x:c r="I7" s="2" t="s">
        <x:v>130</x:v>
      </x:c>
      <x:c r="J7" s="2" t="s">
        <x:v>131</x:v>
      </x:c>
      <x:c r="K7" s="2" t="s">
        <x:v>132</x:v>
      </x:c>
      <x:c r="L7" s="2" t="s">
        <x:v>133</x:v>
      </x:c>
      <x:c r="M7" s="2" t="s">
        <x:v>134</x:v>
      </x:c>
      <x:c r="N7" s="2" t="s">
        <x:v>89</x:v>
      </x:c>
      <x:c r="O7" s="4" t="s">
        <x:v>90</x:v>
      </x:c>
      <x:c r="P7" s="4" t="s">
        <x:v>91</x:v>
      </x:c>
      <x:c r="Q7" s="4" t="s">
        <x:v>92</x:v>
      </x:c>
      <x:c r="R7" s="2" t="s">
        <x:v>93</x:v>
      </x:c>
      <x:c r="S7" s="2"/>
      <x:c r="T7" s="17"/>
      <x:c r="U7" s="17"/>
    </x:row>
    <x:row r="8" ht="84" customHeight="1">
      <x:c r="A8" s="4" t="s">
        <x:v>135</x:v>
      </x:c>
      <x:c r="B8" s="4" t="s">
        <x:v>136</x:v>
      </x:c>
      <x:c r="C8" s="4" t="s">
        <x:v>137</x:v>
      </x:c>
      <x:c r="D8" s="4" t="s">
        <x:v>49</x:v>
      </x:c>
      <x:c r="E8" s="4" t="s">
        <x:v>50</x:v>
      </x:c>
      <x:c r="F8" s="2" t="s">
        <x:v>138</x:v>
      </x:c>
      <x:c r="G8" s="2" t="s">
        <x:v>139</x:v>
      </x:c>
      <x:c r="H8" s="2" t="s">
        <x:v>140</x:v>
      </x:c>
      <x:c r="I8" s="2" t="s">
        <x:v>141</x:v>
      </x:c>
      <x:c r="J8" s="2" t="s">
        <x:v>142</x:v>
      </x:c>
      <x:c r="K8" s="2" t="s">
        <x:v>143</x:v>
      </x:c>
      <x:c r="L8" s="2" t="s">
        <x:v>144</x:v>
      </x:c>
      <x:c r="M8" s="2" t="s">
        <x:v>145</x:v>
      </x:c>
      <x:c r="N8" s="2" t="s">
        <x:v>89</x:v>
      </x:c>
      <x:c r="O8" s="4" t="s">
        <x:v>90</x:v>
      </x:c>
      <x:c r="P8" s="4" t="s">
        <x:v>91</x:v>
      </x:c>
      <x:c r="Q8" s="4" t="s">
        <x:v>92</x:v>
      </x:c>
      <x:c r="R8" s="2" t="s">
        <x:v>93</x:v>
      </x:c>
      <x:c r="S8" s="2"/>
      <x:c r="T8" s="17"/>
      <x:c r="U8" s="17"/>
    </x:row>
    <x:row r="9" ht="96" customHeight="1">
      <x:c r="A9" s="4" t="s">
        <x:v>146</x:v>
      </x:c>
      <x:c r="B9" s="4" t="s">
        <x:v>147</x:v>
      </x:c>
      <x:c r="C9" s="4" t="s">
        <x:v>148</x:v>
      </x:c>
      <x:c r="D9" s="4" t="s">
        <x:v>149</x:v>
      </x:c>
      <x:c r="E9" s="4" t="s">
        <x:v>50</x:v>
      </x:c>
      <x:c r="F9" s="2" t="s">
        <x:v>150</x:v>
      </x:c>
      <x:c r="G9" s="2" t="s">
        <x:v>151</x:v>
      </x:c>
      <x:c r="H9" s="2" t="s">
        <x:v>152</x:v>
      </x:c>
      <x:c r="I9" s="2" t="s">
        <x:v>153</x:v>
      </x:c>
      <x:c r="J9" s="2" t="s">
        <x:v>154</x:v>
      </x:c>
      <x:c r="K9" s="2" t="s">
        <x:v>155</x:v>
      </x:c>
      <x:c r="L9" s="2" t="s">
        <x:v>156</x:v>
      </x:c>
      <x:c r="M9" s="2" t="s">
        <x:v>157</x:v>
      </x:c>
      <x:c r="N9" s="2" t="s">
        <x:v>158</x:v>
      </x:c>
      <x:c r="O9" s="4" t="s">
        <x:v>120</x:v>
      </x:c>
      <x:c r="P9" s="4" t="s">
        <x:v>159</x:v>
      </x:c>
      <x:c r="Q9" s="4" t="s">
        <x:v>62</x:v>
      </x:c>
      <x:c r="R9" s="2" t="s">
        <x:v>160</x:v>
      </x:c>
      <x:c r="S9" s="2" t="s">
        <x:v>161</x:v>
      </x:c>
      <x:c r="T9" s="17" t="str">
        <x:v>https://github.com/HuynhDucThinh/Software-Testing-HW01/issues/2</x:v>
      </x:c>
      <x:c r="U9" s="17" t="str">
        <x:v>GitHub Issue #2 đã tạo; defect tái hiện 1/1 lần theo video đã cung cấp.</x:v>
      </x:c>
    </x:row>
    <x:row r="10" ht="96" customHeight="1">
      <x:c r="A10" s="4" t="s">
        <x:v>162</x:v>
      </x:c>
      <x:c r="B10" s="4" t="s">
        <x:v>163</x:v>
      </x:c>
      <x:c r="C10" s="4" t="s">
        <x:v>164</x:v>
      </x:c>
      <x:c r="D10" s="4" t="s">
        <x:v>49</x:v>
      </x:c>
      <x:c r="E10" s="4" t="s">
        <x:v>50</x:v>
      </x:c>
      <x:c r="F10" s="2" t="s">
        <x:v>165</x:v>
      </x:c>
      <x:c r="G10" s="2" t="s">
        <x:v>166</x:v>
      </x:c>
      <x:c r="H10" s="2" t="s">
        <x:v>167</x:v>
      </x:c>
      <x:c r="I10" s="2" t="s">
        <x:v>168</x:v>
      </x:c>
      <x:c r="J10" s="2" t="s">
        <x:v>169</x:v>
      </x:c>
      <x:c r="K10" s="2" t="s">
        <x:v>170</x:v>
      </x:c>
      <x:c r="L10" s="2" t="s">
        <x:v>171</x:v>
      </x:c>
      <x:c r="M10" s="2" t="s">
        <x:v>172</x:v>
      </x:c>
      <x:c r="N10" s="2" t="s">
        <x:v>173</x:v>
      </x:c>
      <x:c r="O10" s="4" t="s">
        <x:v>120</x:v>
      </x:c>
      <x:c r="P10" s="4" t="s">
        <x:v>174</x:v>
      </x:c>
      <x:c r="Q10" s="4" t="s">
        <x:v>62</x:v>
      </x:c>
      <x:c r="R10" s="2" t="s">
        <x:v>175</x:v>
      </x:c>
      <x:c r="S10" s="2" t="s">
        <x:v>176</x:v>
      </x:c>
      <x:c r="T10" s="17" t="str">
        <x:v>https://github.com/HuynhDucThinh/Software-Testing-HW01/issues/3</x:v>
      </x:c>
      <x:c r="U10" s="17" t="str">
        <x:v>GitHub Issue #3 đã tạo; defect tái hiện 1/1 lần theo video; cần bổ sung vị trí/dạng hư hỏng chính xác.</x:v>
      </x:c>
    </x:row>
    <x:row r="11" ht="96" customHeight="1">
      <x:c r="A11" s="4" t="s">
        <x:v>177</x:v>
      </x:c>
      <x:c r="B11" s="4" t="s">
        <x:v>178</x:v>
      </x:c>
      <x:c r="C11" s="4" t="s">
        <x:v>179</x:v>
      </x:c>
      <x:c r="D11" s="4" t="s">
        <x:v>49</x:v>
      </x:c>
      <x:c r="E11" s="4" t="s">
        <x:v>180</x:v>
      </x:c>
      <x:c r="F11" s="2" t="s">
        <x:v>181</x:v>
      </x:c>
      <x:c r="G11" s="2" t="s">
        <x:v>182</x:v>
      </x:c>
      <x:c r="H11" s="2" t="s">
        <x:v>183</x:v>
      </x:c>
      <x:c r="I11" s="2" t="s">
        <x:v>184</x:v>
      </x:c>
      <x:c r="J11" s="2" t="s">
        <x:v>185</x:v>
      </x:c>
      <x:c r="K11" s="2" t="s">
        <x:v>186</x:v>
      </x:c>
      <x:c r="L11" s="2" t="s">
        <x:v>187</x:v>
      </x:c>
      <x:c r="M11" s="2" t="s">
        <x:v>188</x:v>
      </x:c>
      <x:c r="N11" s="2" t="s">
        <x:v>89</x:v>
      </x:c>
      <x:c r="O11" s="4" t="s">
        <x:v>90</x:v>
      </x:c>
      <x:c r="P11" s="4" t="s">
        <x:v>91</x:v>
      </x:c>
      <x:c r="Q11" s="4" t="s">
        <x:v>92</x:v>
      </x:c>
      <x:c r="R11" s="2" t="s">
        <x:v>93</x:v>
      </x:c>
      <x:c r="S11" s="2"/>
      <x:c r="T11" s="17"/>
      <x:c r="U11" s="17"/>
    </x:row>
    <x:row r="12" ht="96" customHeight="1">
      <x:c r="A12" s="4" t="s">
        <x:v>189</x:v>
      </x:c>
      <x:c r="B12" s="4" t="s">
        <x:v>190</x:v>
      </x:c>
      <x:c r="C12" s="4" t="s">
        <x:v>179</x:v>
      </x:c>
      <x:c r="D12" s="4" t="s">
        <x:v>49</x:v>
      </x:c>
      <x:c r="E12" s="4" t="s">
        <x:v>180</x:v>
      </x:c>
      <x:c r="F12" s="2" t="s">
        <x:v>191</x:v>
      </x:c>
      <x:c r="G12" s="2" t="s">
        <x:v>192</x:v>
      </x:c>
      <x:c r="H12" s="2" t="s">
        <x:v>193</x:v>
      </x:c>
      <x:c r="I12" s="2" t="s">
        <x:v>194</x:v>
      </x:c>
      <x:c r="J12" s="2" t="s">
        <x:v>195</x:v>
      </x:c>
      <x:c r="K12" s="2" t="s">
        <x:v>196</x:v>
      </x:c>
      <x:c r="L12" s="2" t="s">
        <x:v>197</x:v>
      </x:c>
      <x:c r="M12" s="2" t="s">
        <x:v>198</x:v>
      </x:c>
      <x:c r="N12" s="2" t="s">
        <x:v>199</x:v>
      </x:c>
      <x:c r="O12" s="4" t="s">
        <x:v>60</x:v>
      </x:c>
      <x:c r="P12" s="4" t="s">
        <x:v>200</x:v>
      </x:c>
      <x:c r="Q12" s="4" t="s">
        <x:v>62</x:v>
      </x:c>
      <x:c r="R12" s="2" t="s">
        <x:v>201</x:v>
      </x:c>
      <x:c r="S12" s="2"/>
      <x:c r="T12" s="17"/>
      <x:c r="U12" s="17"/>
    </x:row>
    <x:row r="13" ht="84" customHeight="1">
      <x:c r="A13" s="4" t="s">
        <x:v>202</x:v>
      </x:c>
      <x:c r="B13" s="4" t="s">
        <x:v>203</x:v>
      </x:c>
      <x:c r="C13" s="4" t="s">
        <x:v>204</x:v>
      </x:c>
      <x:c r="D13" s="4" t="s">
        <x:v>149</x:v>
      </x:c>
      <x:c r="E13" s="4" t="s">
        <x:v>50</x:v>
      </x:c>
      <x:c r="F13" s="2" t="s">
        <x:v>205</x:v>
      </x:c>
      <x:c r="G13" s="2" t="s">
        <x:v>206</x:v>
      </x:c>
      <x:c r="H13" s="2" t="s">
        <x:v>207</x:v>
      </x:c>
      <x:c r="I13" s="2" t="s">
        <x:v>208</x:v>
      </x:c>
      <x:c r="J13" s="2" t="s">
        <x:v>209</x:v>
      </x:c>
      <x:c r="K13" s="2" t="s">
        <x:v>210</x:v>
      </x:c>
      <x:c r="L13" s="2" t="s">
        <x:v>211</x:v>
      </x:c>
      <x:c r="M13" s="2" t="s">
        <x:v>212</x:v>
      </x:c>
      <x:c r="N13" s="2" t="s">
        <x:v>213</x:v>
      </x:c>
      <x:c r="O13" s="4" t="s">
        <x:v>120</x:v>
      </x:c>
      <x:c r="P13" s="4" t="s">
        <x:v>214</x:v>
      </x:c>
      <x:c r="Q13" s="4" t="s">
        <x:v>62</x:v>
      </x:c>
      <x:c r="R13" s="2" t="s">
        <x:v>215</x:v>
      </x:c>
      <x:c r="S13" s="2" t="s">
        <x:v>216</x:v>
      </x:c>
      <x:c r="T13" s="17" t="str">
        <x:v>https://github.com/HuynhDucThinh/Software-Testing-HW01/issues/4</x:v>
      </x:c>
      <x:c r="U13" s="17" t="str">
        <x:v>GitHub Issue #4 đã tạo; defect tái hiện 1/1 lần theo video; cần bổ sung thời điểm/biểu hiện chính xác.</x:v>
      </x:c>
    </x:row>
    <x:row r="14" ht="84" customHeight="1">
      <x:c r="A14" s="4" t="s">
        <x:v>217</x:v>
      </x:c>
      <x:c r="B14" s="4" t="s">
        <x:v>218</x:v>
      </x:c>
      <x:c r="C14" s="4" t="s">
        <x:v>219</x:v>
      </x:c>
      <x:c r="D14" s="4" t="s">
        <x:v>149</x:v>
      </x:c>
      <x:c r="E14" s="4" t="s">
        <x:v>180</x:v>
      </x:c>
      <x:c r="F14" s="2" t="s">
        <x:v>220</x:v>
      </x:c>
      <x:c r="G14" s="2" t="s">
        <x:v>221</x:v>
      </x:c>
      <x:c r="H14" s="2" t="s">
        <x:v>222</x:v>
      </x:c>
      <x:c r="I14" s="2" t="s">
        <x:v>223</x:v>
      </x:c>
      <x:c r="J14" s="2" t="s">
        <x:v>224</x:v>
      </x:c>
      <x:c r="K14" s="2" t="s">
        <x:v>225</x:v>
      </x:c>
      <x:c r="L14" s="2" t="s">
        <x:v>226</x:v>
      </x:c>
      <x:c r="M14" s="2" t="s">
        <x:v>227</x:v>
      </x:c>
      <x:c r="N14" s="2" t="s">
        <x:v>89</x:v>
      </x:c>
      <x:c r="O14" s="4" t="s">
        <x:v>90</x:v>
      </x:c>
      <x:c r="P14" s="4" t="s">
        <x:v>91</x:v>
      </x:c>
      <x:c r="Q14" s="4" t="s">
        <x:v>92</x:v>
      </x:c>
      <x:c r="R14" s="2" t="s">
        <x:v>93</x:v>
      </x:c>
      <x:c r="S14" s="2"/>
      <x:c r="T14" s="17"/>
      <x:c r="U14" s="17"/>
    </x:row>
    <x:row r="15" ht="108" customHeight="1">
      <x:c r="A15" s="4" t="s">
        <x:v>228</x:v>
      </x:c>
      <x:c r="B15" s="4" t="s">
        <x:v>229</x:v>
      </x:c>
      <x:c r="C15" s="4" t="s">
        <x:v>230</x:v>
      </x:c>
      <x:c r="D15" s="4" t="s">
        <x:v>49</x:v>
      </x:c>
      <x:c r="E15" s="4" t="s">
        <x:v>50</x:v>
      </x:c>
      <x:c r="F15" s="2" t="s">
        <x:v>231</x:v>
      </x:c>
      <x:c r="G15" s="2" t="s">
        <x:v>232</x:v>
      </x:c>
      <x:c r="H15" s="2" t="s">
        <x:v>233</x:v>
      </x:c>
      <x:c r="I15" s="2" t="s">
        <x:v>234</x:v>
      </x:c>
      <x:c r="J15" s="2" t="s">
        <x:v>235</x:v>
      </x:c>
      <x:c r="K15" s="2" t="s">
        <x:v>236</x:v>
      </x:c>
      <x:c r="L15" s="2" t="s">
        <x:v>237</x:v>
      </x:c>
      <x:c r="M15" s="2" t="s">
        <x:v>238</x:v>
      </x:c>
      <x:c r="N15" s="2" t="s">
        <x:v>239</x:v>
      </x:c>
      <x:c r="O15" s="4" t="s">
        <x:v>60</x:v>
      </x:c>
      <x:c r="P15" s="4" t="s">
        <x:v>240</x:v>
      </x:c>
      <x:c r="Q15" s="4" t="s">
        <x:v>62</x:v>
      </x:c>
      <x:c r="R15" s="2" t="s">
        <x:v>241</x:v>
      </x:c>
      <x:c r="S15" s="2"/>
      <x:c r="T15" s="17"/>
      <x:c r="U15" s="17"/>
    </x:row>
    <x:row r="16" ht="84" customHeight="1">
      <x:c r="A16" s="4" t="s">
        <x:v>242</x:v>
      </x:c>
      <x:c r="B16" s="4" t="s">
        <x:v>243</x:v>
      </x:c>
      <x:c r="C16" s="4" t="s">
        <x:v>244</x:v>
      </x:c>
      <x:c r="D16" s="4" t="s">
        <x:v>149</x:v>
      </x:c>
      <x:c r="E16" s="4" t="s">
        <x:v>180</x:v>
      </x:c>
      <x:c r="F16" s="2" t="s">
        <x:v>245</x:v>
      </x:c>
      <x:c r="G16" s="2" t="s">
        <x:v>246</x:v>
      </x:c>
      <x:c r="H16" s="2" t="s">
        <x:v>247</x:v>
      </x:c>
      <x:c r="I16" s="2" t="s">
        <x:v>248</x:v>
      </x:c>
      <x:c r="J16" s="2" t="s">
        <x:v>249</x:v>
      </x:c>
      <x:c r="K16" s="2" t="s">
        <x:v>250</x:v>
      </x:c>
      <x:c r="L16" s="2" t="s">
        <x:v>251</x:v>
      </x:c>
      <x:c r="M16" s="2" t="s">
        <x:v>252</x:v>
      </x:c>
      <x:c r="N16" s="2" t="s">
        <x:v>253</x:v>
      </x:c>
      <x:c r="O16" s="4" t="s">
        <x:v>120</x:v>
      </x:c>
      <x:c r="P16" s="4" t="s">
        <x:v>254</x:v>
      </x:c>
      <x:c r="Q16" s="15" t="s">
        <x:v>62</x:v>
      </x:c>
      <x:c r="R16" s="2" t="s">
        <x:v>255</x:v>
      </x:c>
      <x:c r="S16" s="2" t="s">
        <x:v>256</x:v>
      </x:c>
      <x:c r="T16" s="17" t="str">
        <x:v>https://github.com/HuynhDucThinh/Software-Testing-HW01/issues/5</x:v>
      </x:c>
      <x:c r="U16" s="17" t="str">
        <x:v>GitHub Issue #5 đã tạo; defect tái hiện 1/1 lần theo video; cần bổ sung chu kỳ/đầu hành trình chính xác.</x:v>
      </x:c>
    </x:row>
  </x:sheetData>
  <x:conditionalFormatting sqref="O2:O16">
    <x:cfRule type="containsText" dxfId="5" priority="1" operator="containsText" text="Pass"/>
    <x:cfRule type="containsText" dxfId="4" priority="2" operator="containsText" text="Fail"/>
    <x:cfRule type="containsText" dxfId="3" priority="3" operator="containsText" text="Not Executed"/>
  </x:conditionalFormatting>
  <x:dataValidations count="3">
    <x:dataValidation type="list" sqref="E2:E16">
      <x:formula1>"Có,Không"</x:formula1>
    </x:dataValidation>
    <x:dataValidation type="list" sqref="O2:O16">
      <x:formula1>"Not Executed,Pass,Fail,Blocked"</x:formula1>
    </x:dataValidation>
    <x:dataValidation type="list" sqref="Q2:Q16">
      <x:formula1>"Không quay,Chưa quay,Đã quay,Đã tải lên,Đã xác minh"</x:formula1>
    </x:dataValidation>
  </x:dataValidations>
  <x:hyperlinks>
    <x:hyperlink xmlns:r="http://schemas.openxmlformats.org/officeDocument/2006/relationships" ref="M2" r:id="R4889516b855c464d"/>
    <x:hyperlink xmlns:r="http://schemas.openxmlformats.org/officeDocument/2006/relationships" ref="N2" r:id="Re260230cbfe64ae2"/>
    <x:hyperlink xmlns:r="http://schemas.openxmlformats.org/officeDocument/2006/relationships" ref="M3" r:id="R10e198e4de824719"/>
    <x:hyperlink xmlns:r="http://schemas.openxmlformats.org/officeDocument/2006/relationships" ref="N3" r:id="Rfa0589f8ca1344c7"/>
    <x:hyperlink xmlns:r="http://schemas.openxmlformats.org/officeDocument/2006/relationships" ref="M4" r:id="R939cb046286847f7"/>
    <x:hyperlink xmlns:r="http://schemas.openxmlformats.org/officeDocument/2006/relationships" ref="N4" r:id="R5c19604c07d54de3"/>
    <x:hyperlink xmlns:r="http://schemas.openxmlformats.org/officeDocument/2006/relationships" ref="M5" r:id="Rebe4a5cb777d4914"/>
    <x:hyperlink xmlns:r="http://schemas.openxmlformats.org/officeDocument/2006/relationships" ref="N5" r:id="R92077fe4a99f463b"/>
    <x:hyperlink xmlns:r="http://schemas.openxmlformats.org/officeDocument/2006/relationships" ref="M6" r:id="Rd2bc0f24022a464b"/>
    <x:hyperlink xmlns:r="http://schemas.openxmlformats.org/officeDocument/2006/relationships" ref="N6" r:id="R3e4cd6aa30564c45"/>
    <x:hyperlink xmlns:r="http://schemas.openxmlformats.org/officeDocument/2006/relationships" ref="N7" r:id="Rb60f76b7d3f44dfa"/>
    <x:hyperlink xmlns:r="http://schemas.openxmlformats.org/officeDocument/2006/relationships" ref="N8" r:id="R0e649e5e38d14d2c"/>
    <x:hyperlink xmlns:r="http://schemas.openxmlformats.org/officeDocument/2006/relationships" ref="N9" r:id="R84da43c44f294de4"/>
    <x:hyperlink xmlns:r="http://schemas.openxmlformats.org/officeDocument/2006/relationships" ref="N10" r:id="Raa7c5f1c4c3e4fa0"/>
    <x:hyperlink xmlns:r="http://schemas.openxmlformats.org/officeDocument/2006/relationships" ref="N11" r:id="Ra118bc61f6ea41dc"/>
    <x:hyperlink xmlns:r="http://schemas.openxmlformats.org/officeDocument/2006/relationships" ref="N12" r:id="Re857a85c97af4269"/>
    <x:hyperlink xmlns:r="http://schemas.openxmlformats.org/officeDocument/2006/relationships" ref="N13" r:id="Rd150d567d2bf40cf"/>
    <x:hyperlink xmlns:r="http://schemas.openxmlformats.org/officeDocument/2006/relationships" ref="N14" r:id="Ra150db120caf4dee"/>
    <x:hyperlink xmlns:r="http://schemas.openxmlformats.org/officeDocument/2006/relationships" ref="N15" r:id="R65864619e2d345db"/>
    <x:hyperlink xmlns:r="http://schemas.openxmlformats.org/officeDocument/2006/relationships" ref="N16" r:id="Rfad4c00604c54790"/>
  </x:hyperlinks>
  <x:pageMargins left="0.7" right="0.7" top="0.75" bottom="0.75" header="0.3" footer="0.3"/>
  <x:tableParts count="1">
    <x:tablePart xmlns:r="http://schemas.openxmlformats.org/officeDocument/2006/relationships" r:id="Raee865f5c0734889"/>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12" customWidth="1"/>
    <x:col min="2" max="2" width="44" customWidth="1"/>
    <x:col min="3" max="3" width="42" customWidth="1"/>
    <x:col min="4" max="4" width="60" customWidth="1"/>
    <x:col min="5" max="5" width="21" customWidth="1"/>
    <x:col min="6" max="6" width="22" customWidth="1"/>
    <x:col min="7" max="7" width="17" customWidth="1"/>
  </x:cols>
  <x:sheetData>
    <x:row r="1" ht="15" customHeight="1">
      <x:c r="A1" s="7" t="s">
        <x:v>40</x:v>
      </x:c>
      <x:c r="B1" s="7" t="s">
        <x:v>257</x:v>
      </x:c>
      <x:c r="C1" s="7" t="s">
        <x:v>3</x:v>
      </x:c>
      <x:c r="D1" s="7" t="s">
        <x:v>42</x:v>
      </x:c>
      <x:c r="E1" s="7" t="s">
        <x:v>258</x:v>
      </x:c>
      <x:c r="F1" s="7" t="s">
        <x:v>259</x:v>
      </x:c>
      <x:c r="G1" s="7" t="s">
        <x:v>260</x:v>
      </x:c>
    </x:row>
    <x:row r="2" ht="42" customHeight="1">
      <x:c r="A2" s="8" t="s">
        <x:v>61</x:v>
      </x:c>
      <x:c r="B2" s="8" t="s">
        <x:v>261</x:v>
      </x:c>
      <x:c r="C2" s="8" t="str">
        <x:v>Đã xác minh thời lượng, giọng nói và chế độ Unlisted</x:v>
      </x:c>
      <x:c r="D2" s="9" t="s">
        <x:v>63</x:v>
      </x:c>
      <x:c r="E2" s="8" t="s">
        <x:v>262</x:v>
      </x:c>
      <x:c r="F2" s="8" t="s">
        <x:v>180</x:v>
      </x:c>
      <x:c r="G2" s="8" t="s">
        <x:v>60</x:v>
      </x:c>
    </x:row>
    <x:row r="3" ht="42" customHeight="1">
      <x:c r="A3" s="8" t="s">
        <x:v>76</x:v>
      </x:c>
      <x:c r="B3" s="8" t="s">
        <x:v>263</x:v>
      </x:c>
      <x:c r="C3" s="8" t="str">
        <x:v>Đã xác minh thời lượng, giọng nói và chế độ Unlisted</x:v>
      </x:c>
      <x:c r="D3" s="9" t="s">
        <x:v>77</x:v>
      </x:c>
      <x:c r="E3" s="8" t="s">
        <x:v>264</x:v>
      </x:c>
      <x:c r="F3" s="8" t="s">
        <x:v>180</x:v>
      </x:c>
      <x:c r="G3" s="8" t="s">
        <x:v>60</x:v>
      </x:c>
    </x:row>
    <x:row r="4" ht="42" customHeight="1">
      <x:c r="A4" s="8" t="s">
        <x:v>106</x:v>
      </x:c>
      <x:c r="B4" s="8" t="s">
        <x:v>265</x:v>
      </x:c>
      <x:c r="C4" s="8" t="str">
        <x:v>Đã xác minh thời lượng, giọng nói và chế độ Unlisted</x:v>
      </x:c>
      <x:c r="D4" s="9" t="s">
        <x:v>107</x:v>
      </x:c>
      <x:c r="E4" s="8" t="s">
        <x:v>266</x:v>
      </x:c>
      <x:c r="F4" s="8" t="s">
        <x:v>180</x:v>
      </x:c>
      <x:c r="G4" s="8" t="s">
        <x:v>60</x:v>
      </x:c>
    </x:row>
    <x:row r="5" ht="42" customHeight="1">
      <x:c r="A5" s="8" t="s">
        <x:v>200</x:v>
      </x:c>
      <x:c r="B5" s="8" t="s">
        <x:v>267</x:v>
      </x:c>
      <x:c r="C5" s="8" t="str">
        <x:v>Đã xác minh thời lượng, giọng nói và chế độ Unlisted</x:v>
      </x:c>
      <x:c r="D5" s="9" t="s">
        <x:v>201</x:v>
      </x:c>
      <x:c r="E5" s="8" t="s">
        <x:v>266</x:v>
      </x:c>
      <x:c r="F5" s="8" t="s">
        <x:v>180</x:v>
      </x:c>
      <x:c r="G5" s="8" t="s">
        <x:v>60</x:v>
      </x:c>
    </x:row>
    <x:row r="6" ht="42" customHeight="1">
      <x:c r="A6" s="8" t="s">
        <x:v>240</x:v>
      </x:c>
      <x:c r="B6" s="8" t="s">
        <x:v>268</x:v>
      </x:c>
      <x:c r="C6" s="8" t="str">
        <x:v>Đã xác minh thời lượng, giọng nói và chế độ Unlisted</x:v>
      </x:c>
      <x:c r="D6" s="9" t="s">
        <x:v>241</x:v>
      </x:c>
      <x:c r="E6" s="8" t="s">
        <x:v>262</x:v>
      </x:c>
      <x:c r="F6" s="8" t="s">
        <x:v>180</x:v>
      </x:c>
      <x:c r="G6" s="8" t="s">
        <x:v>60</x:v>
      </x:c>
    </x:row>
    <x:row r="7" ht="42" customHeight="1">
      <x:c r="A7" s="11" t="s">
        <x:v>121</x:v>
      </x:c>
      <x:c r="B7" s="11" t="s">
        <x:v>269</x:v>
      </x:c>
      <x:c r="C7" s="12" t="str">
        <x:v>Đã xác minh thời lượng, giọng nói và chế độ Unlisted</x:v>
      </x:c>
      <x:c r="D7" s="13" t="s">
        <x:v>122</x:v>
      </x:c>
      <x:c r="E7" s="12" t="s">
        <x:v>270</x:v>
      </x:c>
      <x:c r="F7" s="12" t="s">
        <x:v>180</x:v>
      </x:c>
      <x:c r="G7" s="12" t="s">
        <x:v>120</x:v>
      </x:c>
    </x:row>
    <x:row r="8" ht="42" customHeight="1">
      <x:c r="A8" s="11" t="s">
        <x:v>159</x:v>
      </x:c>
      <x:c r="B8" s="11" t="s">
        <x:v>271</x:v>
      </x:c>
      <x:c r="C8" s="12" t="str">
        <x:v>Đã xác minh thời lượng, giọng nói và chế độ Unlisted</x:v>
      </x:c>
      <x:c r="D8" s="14" t="s">
        <x:v>160</x:v>
      </x:c>
      <x:c r="E8" s="12" t="s">
        <x:v>272</x:v>
      </x:c>
      <x:c r="F8" s="12" t="s">
        <x:v>180</x:v>
      </x:c>
      <x:c r="G8" s="12" t="s">
        <x:v>120</x:v>
      </x:c>
    </x:row>
    <x:row r="9" ht="42" customHeight="1">
      <x:c r="A9" s="11" t="s">
        <x:v>174</x:v>
      </x:c>
      <x:c r="B9" s="11" t="s">
        <x:v>273</x:v>
      </x:c>
      <x:c r="C9" s="12" t="str">
        <x:v>Đã xác minh thời lượng, giọng nói và chế độ Unlisted</x:v>
      </x:c>
      <x:c r="D9" s="14" t="s">
        <x:v>175</x:v>
      </x:c>
      <x:c r="E9" s="12" t="s">
        <x:v>274</x:v>
      </x:c>
      <x:c r="F9" s="12" t="s">
        <x:v>180</x:v>
      </x:c>
      <x:c r="G9" s="12" t="s">
        <x:v>120</x:v>
      </x:c>
    </x:row>
    <x:row r="10" ht="42" customHeight="1">
      <x:c r="A10" s="11" t="s">
        <x:v>214</x:v>
      </x:c>
      <x:c r="B10" s="11" t="s">
        <x:v>275</x:v>
      </x:c>
      <x:c r="C10" s="12" t="str">
        <x:v>Đã xác minh thời lượng, giọng nói và chế độ Unlisted</x:v>
      </x:c>
      <x:c r="D10" s="14" t="s">
        <x:v>215</x:v>
      </x:c>
      <x:c r="E10" s="12" t="s">
        <x:v>276</x:v>
      </x:c>
      <x:c r="F10" s="12" t="s">
        <x:v>180</x:v>
      </x:c>
      <x:c r="G10" s="12" t="s">
        <x:v>120</x:v>
      </x:c>
    </x:row>
    <x:row r="11" ht="42" customHeight="1">
      <x:c r="A11" s="11" t="s">
        <x:v>254</x:v>
      </x:c>
      <x:c r="B11" s="11" t="s">
        <x:v>277</x:v>
      </x:c>
      <x:c r="C11" s="12" t="str">
        <x:v>Đã xác minh thời lượng, giọng nói và chế độ Unlisted</x:v>
      </x:c>
      <x:c r="D11" s="14" t="s">
        <x:v>255</x:v>
      </x:c>
      <x:c r="E11" s="12" t="s">
        <x:v>262</x:v>
      </x:c>
      <x:c r="F11" s="12" t="s">
        <x:v>180</x:v>
      </x:c>
      <x:c r="G11" s="12" t="s">
        <x:v>120</x:v>
      </x:c>
    </x:row>
  </x:sheetData>
  <x:conditionalFormatting sqref="C2:C6">
    <x:cfRule type="containsText" dxfId="2" priority="1" operator="containsText" text="Chưa quay"/>
  </x:conditionalFormatting>
  <x:dataValidations count="1">
    <x:dataValidation type="list" sqref="C2:C6">
      <x:formula1>"Chưa quay,Đã quay,Đã tải lên,Đã xác minh"</x:formula1>
    </x:dataValidation>
  </x:dataValidations>
  <x:hyperlinks>
    <x:hyperlink xmlns:r="http://schemas.openxmlformats.org/officeDocument/2006/relationships" ref="C2" r:id="R93b202c4f2d649ec"/>
    <x:hyperlink xmlns:r="http://schemas.openxmlformats.org/officeDocument/2006/relationships" ref="C3" r:id="Raa35269576d84e4b"/>
    <x:hyperlink xmlns:r="http://schemas.openxmlformats.org/officeDocument/2006/relationships" ref="C4" r:id="Rae7d5aec175d4506"/>
    <x:hyperlink xmlns:r="http://schemas.openxmlformats.org/officeDocument/2006/relationships" ref="C5" r:id="R08faa16bbc004cd4"/>
    <x:hyperlink xmlns:r="http://schemas.openxmlformats.org/officeDocument/2006/relationships" ref="C6" r:id="R59b3a707fd964254"/>
    <x:hyperlink xmlns:r="http://schemas.openxmlformats.org/officeDocument/2006/relationships" ref="D7" r:id="R78d8c4d2200e4d6b"/>
  </x:hyperlinks>
  <x:pageMargins left="0.7" right="0.7" top="0.75" bottom="0.75" header="0.3" footer="0.3"/>
  <x:tableParts count="1">
    <x:tablePart xmlns:r="http://schemas.openxmlformats.org/officeDocument/2006/relationships" r:id="R426bc8d5afc84dfb"/>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12" customWidth="1"/>
    <x:col min="2" max="2" width="14" customWidth="1"/>
    <x:col min="3" max="4" width="38" customWidth="1"/>
    <x:col min="5" max="5" width="55" customWidth="1"/>
    <x:col min="6" max="7" width="42" customWidth="1"/>
    <x:col min="8" max="8" width="18" customWidth="1"/>
    <x:col min="9" max="9" width="14" customWidth="1"/>
    <x:col min="10" max="10" width="24" customWidth="1"/>
    <x:col min="11" max="11" width="42" customWidth="1"/>
    <x:col min="12" max="12" width="22" customWidth="1"/>
    <x:col min="13" max="13" width="55" customWidth="1"/>
  </x:cols>
  <x:sheetData>
    <x:row r="1" ht="15" customHeight="1">
      <x:c r="A1" s="10" t="s">
        <x:v>43</x:v>
      </x:c>
      <x:c r="B1" s="10" t="s">
        <x:v>278</x:v>
      </x:c>
      <x:c r="C1" s="10" t="s">
        <x:v>279</x:v>
      </x:c>
      <x:c r="D1" s="10" t="s">
        <x:v>31</x:v>
      </x:c>
      <x:c r="E1" s="10" t="s">
        <x:v>280</x:v>
      </x:c>
      <x:c r="F1" s="10" t="s">
        <x:v>34</x:v>
      </x:c>
      <x:c r="G1" s="10" t="s">
        <x:v>38</x:v>
      </x:c>
      <x:c r="H1" s="10" t="s">
        <x:v>281</x:v>
      </x:c>
      <x:c r="I1" s="10" t="s">
        <x:v>282</x:v>
      </x:c>
      <x:c r="J1" s="10" t="s">
        <x:v>283</x:v>
      </x:c>
      <x:c r="K1" s="18" t="s">
        <x:v>44</x:v>
      </x:c>
      <x:c r="L1" s="18" t="s">
        <x:v>3</x:v>
      </x:c>
      <x:c r="M1" s="18" t="s">
        <x:v>45</x:v>
      </x:c>
    </x:row>
    <x:row r="2" ht="96" customHeight="1">
      <x:c r="A2" s="2" t="s">
        <x:v>123</x:v>
      </x:c>
      <x:c r="B2" s="2" t="s">
        <x:v>108</x:v>
      </x:c>
      <x:c r="C2" s="2" t="s">
        <x:v>284</x:v>
      </x:c>
      <x:c r="D2" s="2" t="s">
        <x:v>112</x:v>
      </x:c>
      <x:c r="E2" s="2" t="s">
        <x:v>114</x:v>
      </x:c>
      <x:c r="F2" s="2" t="s">
        <x:v>115</x:v>
      </x:c>
      <x:c r="G2" s="2" t="s">
        <x:v>119</x:v>
      </x:c>
      <x:c r="H2" s="2" t="str">
        <x:v>1/1 lần theo video đã cung cấp</x:v>
      </x:c>
      <x:c r="I2" s="2" t="s">
        <x:v>149</x:v>
      </x:c>
      <x:c r="J2" s="2" t="s">
        <x:v>121</x:v>
      </x:c>
      <x:c r="K2" s="17" t="str">
        <x:v>https://github.com/HuynhDucThinh/Software-Testing-HW01/issues/1</x:v>
      </x:c>
      <x:c r="L2" s="17" t="str">
        <x:v>Đã tạo GitHub Issue</x:v>
      </x:c>
      <x:c r="M2" s="17" t="str">
        <x:v>GitHub Issue #1 đã tạo; defect tái hiện 1/1 lần theo video đã cung cấp.</x:v>
      </x:c>
    </x:row>
    <x:row r="3" ht="132" customHeight="1">
      <x:c r="A3" s="1" t="s">
        <x:v>161</x:v>
      </x:c>
      <x:c r="B3" s="1" t="s">
        <x:v>146</x:v>
      </x:c>
      <x:c r="C3" s="1" t="s">
        <x:v>285</x:v>
      </x:c>
      <x:c r="D3" s="1" t="s">
        <x:v>151</x:v>
      </x:c>
      <x:c r="E3" s="1" t="s">
        <x:v>153</x:v>
      </x:c>
      <x:c r="F3" s="1" t="s">
        <x:v>154</x:v>
      </x:c>
      <x:c r="G3" s="1" t="s">
        <x:v>158</x:v>
      </x:c>
      <x:c r="H3" s="1" t="str">
        <x:v>1/1 lần theo video đã cung cấp</x:v>
      </x:c>
      <x:c r="I3" s="1" t="s">
        <x:v>149</x:v>
      </x:c>
      <x:c r="J3" s="1" t="s">
        <x:v>159</x:v>
      </x:c>
      <x:c r="K3" s="19" t="str">
        <x:v>https://github.com/HuynhDucThinh/Software-Testing-HW01/issues/2</x:v>
      </x:c>
      <x:c r="L3" s="19" t="str">
        <x:v>Đã tạo GitHub Issue</x:v>
      </x:c>
      <x:c r="M3" s="19" t="str">
        <x:v>GitHub Issue #2 đã tạo; defect tái hiện 1/1 lần theo video đã cung cấp.</x:v>
      </x:c>
    </x:row>
    <x:row r="4" ht="132" customHeight="1">
      <x:c r="A4" s="1" t="s">
        <x:v>176</x:v>
      </x:c>
      <x:c r="B4" s="1" t="s">
        <x:v>162</x:v>
      </x:c>
      <x:c r="C4" s="1" t="s">
        <x:v>286</x:v>
      </x:c>
      <x:c r="D4" s="1" t="s">
        <x:v>166</x:v>
      </x:c>
      <x:c r="E4" s="1" t="s">
        <x:v>168</x:v>
      </x:c>
      <x:c r="F4" s="1" t="s">
        <x:v>169</x:v>
      </x:c>
      <x:c r="G4" s="1" t="s">
        <x:v>173</x:v>
      </x:c>
      <x:c r="H4" s="1" t="str">
        <x:v>1/1 lần theo video đã cung cấp</x:v>
      </x:c>
      <x:c r="I4" s="1" t="s">
        <x:v>49</x:v>
      </x:c>
      <x:c r="J4" s="1" t="s">
        <x:v>174</x:v>
      </x:c>
      <x:c r="K4" s="19" t="str">
        <x:v>https://github.com/HuynhDucThinh/Software-Testing-HW01/issues/3</x:v>
      </x:c>
      <x:c r="L4" s="19" t="str">
        <x:v>Đã tạo GitHub Issue</x:v>
      </x:c>
      <x:c r="M4" s="19" t="str">
        <x:v>GitHub Issue #3 đã tạo; defect tái hiện 1/1 lần theo video; cần bổ sung vị trí/dạng hư hỏng chính xác.</x:v>
      </x:c>
    </x:row>
    <x:row r="5" ht="118.80000305175781" customHeight="1">
      <x:c r="A5" s="1" t="s">
        <x:v>216</x:v>
      </x:c>
      <x:c r="B5" s="1" t="s">
        <x:v>202</x:v>
      </x:c>
      <x:c r="C5" s="1" t="s">
        <x:v>287</x:v>
      </x:c>
      <x:c r="D5" s="1" t="s">
        <x:v>206</x:v>
      </x:c>
      <x:c r="E5" s="1" t="s">
        <x:v>208</x:v>
      </x:c>
      <x:c r="F5" s="1" t="s">
        <x:v>209</x:v>
      </x:c>
      <x:c r="G5" s="1" t="s">
        <x:v>213</x:v>
      </x:c>
      <x:c r="H5" s="1" t="str">
        <x:v>1/1 lần theo video đã cung cấp</x:v>
      </x:c>
      <x:c r="I5" s="1" t="s">
        <x:v>149</x:v>
      </x:c>
      <x:c r="J5" s="1" t="s">
        <x:v>214</x:v>
      </x:c>
      <x:c r="K5" s="19" t="str">
        <x:v>https://github.com/HuynhDucThinh/Software-Testing-HW01/issues/4</x:v>
      </x:c>
      <x:c r="L5" s="19" t="str">
        <x:v>Đã tạo GitHub Issue</x:v>
      </x:c>
      <x:c r="M5" s="19" t="str">
        <x:v>GitHub Issue #4 đã tạo; defect tái hiện 1/1 lần theo video; cần bổ sung thời điểm/biểu hiện chính xác.</x:v>
      </x:c>
    </x:row>
    <x:row r="6" ht="118.80000305175781" customHeight="1">
      <x:c r="A6" s="1" t="s">
        <x:v>256</x:v>
      </x:c>
      <x:c r="B6" s="1" t="s">
        <x:v>242</x:v>
      </x:c>
      <x:c r="C6" s="1" t="s">
        <x:v>288</x:v>
      </x:c>
      <x:c r="D6" s="1" t="s">
        <x:v>246</x:v>
      </x:c>
      <x:c r="E6" s="1" t="s">
        <x:v>248</x:v>
      </x:c>
      <x:c r="F6" s="1" t="s">
        <x:v>249</x:v>
      </x:c>
      <x:c r="G6" s="1" t="s">
        <x:v>253</x:v>
      </x:c>
      <x:c r="H6" s="1" t="str">
        <x:v>1/1 lần theo video đã cung cấp</x:v>
      </x:c>
      <x:c r="I6" s="1" t="s">
        <x:v>149</x:v>
      </x:c>
      <x:c r="J6" s="1" t="s">
        <x:v>254</x:v>
      </x:c>
      <x:c r="K6" s="19" t="str">
        <x:v>https://github.com/HuynhDucThinh/Software-Testing-HW01/issues/5</x:v>
      </x:c>
      <x:c r="L6" s="19" t="str">
        <x:v>Đã tạo GitHub Issue</x:v>
      </x:c>
      <x:c r="M6" s="19" t="str">
        <x:v>GitHub Issue #5 đã tạo; defect tái hiện 1/1 lần theo video; cần bổ sung chu kỳ/đầu hành trình chính xác.</x:v>
      </x:c>
    </x:row>
  </x:sheetData>
  <x:dataValidations count="2">
    <x:dataValidation type="list" sqref="I2:I100">
      <x:formula1>"Critical,High,Medium,Low"</x:formula1>
    </x:dataValidation>
    <x:dataValidation type="list" sqref="L2:L100">
      <x:formula1>"Chưa thực thi,Đã ghi nhận,Đã tạo GitHub Issue,Đã đóng"</x:formula1>
    </x:dataValidation>
  </x:dataValidations>
  <x:hyperlinks>
    <x:hyperlink xmlns:r="http://schemas.openxmlformats.org/officeDocument/2006/relationships" ref="F2" r:id="R3cf759b155f146bc"/>
    <x:hyperlink xmlns:r="http://schemas.openxmlformats.org/officeDocument/2006/relationships" ref="F3" r:id="Rc391333bd7474742"/>
    <x:hyperlink xmlns:r="http://schemas.openxmlformats.org/officeDocument/2006/relationships" ref="F4" r:id="R9cdcdb714711499a"/>
    <x:hyperlink xmlns:r="http://schemas.openxmlformats.org/officeDocument/2006/relationships" ref="F5" r:id="R7e5c7bbbdb9d42a4"/>
    <x:hyperlink xmlns:r="http://schemas.openxmlformats.org/officeDocument/2006/relationships" ref="F6" r:id="R2e11a41bbc4445f9"/>
  </x:hyperlinks>
  <x:pageMargins left="0.7" right="0.7" top="0.75" bottom="0.75" header="0.3" footer="0.3"/>
  <x:tableParts count="1">
    <x:tablePart xmlns:r="http://schemas.openxmlformats.org/officeDocument/2006/relationships" r:id="R94bacab5e67b4f73"/>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48" customWidth="1"/>
    <x:col min="2" max="3" width="20" customWidth="1"/>
    <x:col min="4" max="4" width="75" customWidth="1"/>
  </x:cols>
  <x:sheetData>
    <x:row r="1" ht="15" customHeight="1">
      <x:c r="A1" s="16" t="s">
        <x:v>289</x:v>
      </x:c>
      <x:c r="B1" s="16" t="s">
        <x:v>3</x:v>
      </x:c>
      <x:c r="C1" s="16" t="s">
        <x:v>290</x:v>
      </x:c>
      <x:c r="D1" s="16" t="s">
        <x:v>45</x:v>
      </x:c>
    </x:row>
    <x:row r="2" ht="15" customHeight="1">
      <x:c r="A2" s="17" t="s">
        <x:v>291</x:v>
      </x:c>
      <x:c r="B2" s="17" t="s">
        <x:v>292</x:v>
      </x:c>
      <x:c r="C2" s="17" t="s">
        <x:v>293</x:v>
      </x:c>
      <x:c r="D2" s="17" t="str">
        <x:v>23120199 - Huỳnh Đức Thịnh; repository Public: https://github.com/HuynhDucThinh/Software-Testing-HW01</x:v>
      </x:c>
    </x:row>
    <x:row r="3" ht="15" customHeight="1">
      <x:c r="A3" s="17" t="s">
        <x:v>294</x:v>
      </x:c>
      <x:c r="B3" s="17" t="s">
        <x:v>295</x:v>
      </x:c>
      <x:c r="C3" s="17" t="s">
        <x:v>293</x:v>
      </x:c>
      <x:c r="D3" s="17" t="s">
        <x:v>296</x:v>
      </x:c>
    </x:row>
    <x:row r="4" ht="15" customHeight="1">
      <x:c r="A4" s="17" t="s">
        <x:v>297</x:v>
      </x:c>
      <x:c r="B4" s="17" t="s">
        <x:v>295</x:v>
      </x:c>
      <x:c r="C4" s="17" t="s">
        <x:v>293</x:v>
      </x:c>
      <x:c r="D4" s="17" t="s">
        <x:v>298</x:v>
      </x:c>
    </x:row>
    <x:row r="5" ht="15" customHeight="1">
      <x:c r="A5" s="17" t="s">
        <x:v>299</x:v>
      </x:c>
      <x:c r="B5" s="17" t="s">
        <x:v>292</x:v>
      </x:c>
      <x:c r="C5" s="17" t="s">
        <x:v>293</x:v>
      </x:c>
      <x:c r="D5" s="17" t="s">
        <x:v>300</x:v>
      </x:c>
    </x:row>
    <x:row r="6" ht="15" customHeight="1">
      <x:c r="A6" s="17" t="s">
        <x:v>301</x:v>
      </x:c>
      <x:c r="B6" s="17" t="s">
        <x:v>302</x:v>
      </x:c>
      <x:c r="C6" s="17" t="s">
        <x:v>293</x:v>
      </x:c>
      <x:c r="D6" s="17" t="s">
        <x:v>303</x:v>
      </x:c>
    </x:row>
    <x:row r="7" ht="15" customHeight="1">
      <x:c r="A7" s="17" t="s">
        <x:v>304</x:v>
      </x:c>
      <x:c r="B7" s="17" t="s">
        <x:v>292</x:v>
      </x:c>
      <x:c r="C7" s="17" t="s">
        <x:v>293</x:v>
      </x:c>
      <x:c r="D7" s="17" t="s">
        <x:v>305</x:v>
      </x:c>
    </x:row>
    <x:row r="8" ht="15" customHeight="1">
      <x:c r="A8" s="17" t="s">
        <x:v>306</x:v>
      </x:c>
      <x:c r="B8" s="17" t="s">
        <x:v>292</x:v>
      </x:c>
      <x:c r="C8" s="17" t="s">
        <x:v>293</x:v>
      </x:c>
      <x:c r="D8" s="17" t="s">
        <x:v>307</x:v>
      </x:c>
    </x:row>
    <x:row r="9" ht="15" customHeight="1">
      <x:c r="A9" s="17" t="s">
        <x:v>308</x:v>
      </x:c>
      <x:c r="B9" s="17" t="s">
        <x:v>292</x:v>
      </x:c>
      <x:c r="C9" s="17" t="s">
        <x:v>293</x:v>
      </x:c>
      <x:c r="D9" s="17" t="s">
        <x:v>309</x:v>
      </x:c>
    </x:row>
    <x:row r="10" ht="15" customHeight="1">
      <x:c r="A10" s="17" t="s">
        <x:v>310</x:v>
      </x:c>
      <x:c r="B10" s="17" t="s">
        <x:v>292</x:v>
      </x:c>
      <x:c r="C10" s="17" t="s">
        <x:v>293</x:v>
      </x:c>
      <x:c r="D10" s="17" t="s">
        <x:v>19</x:v>
      </x:c>
    </x:row>
    <x:row r="11" ht="15" customHeight="1">
      <x:c r="A11" s="17" t="s">
        <x:v>311</x:v>
      </x:c>
      <x:c r="B11" s="17" t="s">
        <x:v>302</x:v>
      </x:c>
      <x:c r="C11" s="17" t="s">
        <x:v>293</x:v>
      </x:c>
      <x:c r="D11" s="17" t="s">
        <x:v>312</x:v>
      </x:c>
    </x:row>
    <x:row r="12" ht="15" customHeight="1">
      <x:c r="A12" s="17" t="s">
        <x:v>313</x:v>
      </x:c>
      <x:c r="B12" s="17" t="s">
        <x:v>292</x:v>
      </x:c>
      <x:c r="C12" s="17" t="s">
        <x:v>293</x:v>
      </x:c>
      <x:c r="D12" s="17" t="s">
        <x:v>314</x:v>
      </x:c>
    </x:row>
    <x:row r="13" ht="15" customHeight="1">
      <x:c r="A13" s="17" t="s">
        <x:v>315</x:v>
      </x:c>
      <x:c r="B13" s="17" t="str">
        <x:v>Đã hoàn thành</x:v>
      </x:c>
      <x:c r="C13" s="17" t="str">
        <x:v>Sinh viên</x:v>
      </x:c>
      <x:c r="D13" s="17" t="str">
        <x:v>10/10 video dài 42-59 giây, có giọng nói và đã xác nhận ở chế độ Unlisted trong YouTube Studio</x:v>
      </x:c>
    </x:row>
    <x:row r="14" ht="15" customHeight="1">
      <x:c r="A14" s="17" t="s">
        <x:v>316</x:v>
      </x:c>
      <x:c r="B14" s="17" t="str">
        <x:v>Đã hoàn thành</x:v>
      </x:c>
      <x:c r="C14" s="17" t="str">
        <x:v>Sinh viên</x:v>
      </x:c>
      <x:c r="D14" s="17" t="str">
        <x:v>Đã tạo 5 GitHub Issues (#1-#5) cho DEF-01, DEF-04, DEF-07, DEF-08 và DEF-09; ảnh tổng quan: evidence/github_issues/github_issues_overview.png</x:v>
      </x:c>
    </x:row>
    <x:row r="15" ht="15" customHeight="1">
      <x:c r="A15" s="17" t="s">
        <x:v>317</x:v>
      </x:c>
      <x:c r="B15" s="17" t="s">
        <x:v>292</x:v>
      </x:c>
      <x:c r="C15" s="17" t="s">
        <x:v>293</x:v>
      </x:c>
      <x:c r="D15" s="17" t="s">
        <x:v>318</x:v>
      </x:c>
    </x:row>
    <x:row r="16" ht="15" customHeight="1">
      <x:c r="A16" s="17" t="s">
        <x:v>319</x:v>
      </x:c>
      <x:c r="B16" s="17" t="s">
        <x:v>302</x:v>
      </x:c>
      <x:c r="C16" s="17" t="s">
        <x:v>293</x:v>
      </x:c>
      <x:c r="D16" s="17" t="s">
        <x:v>320</x:v>
      </x:c>
    </x:row>
    <x:row r="17" ht="15" customHeight="1">
      <x:c r="A17" s="17" t="s">
        <x:v>321</x:v>
      </x:c>
      <x:c r="B17" s="17" t="s">
        <x:v>292</x:v>
      </x:c>
      <x:c r="C17" s="17" t="s">
        <x:v>293</x:v>
      </x:c>
      <x:c r="D17" s="17" t="s">
        <x:v>322</x:v>
      </x:c>
    </x:row>
    <x:row r="18" ht="15" customHeight="1">
      <x:c r="A18" s="17" t="s">
        <x:v>323</x:v>
      </x:c>
      <x:c r="B18" s="17" t="s">
        <x:v>295</x:v>
      </x:c>
      <x:c r="C18" s="17" t="s">
        <x:v>293</x:v>
      </x:c>
      <x:c r="D18" s="17" t="s">
        <x:v>324</x:v>
      </x:c>
    </x:row>
  </x:sheetData>
  <x:conditionalFormatting sqref="B2:B18">
    <x:cfRule type="containsText" dxfId="1" priority="1" operator="containsText" text="Đã hoàn thành"/>
    <x:cfRule type="containsText" dxfId="0" priority="2" operator="containsText" text="Cần"/>
  </x:conditionalFormatting>
  <x:dataValidations count="1">
    <x:dataValidation type="list" sqref="B2:B18">
      <x:formula1>"Đã hoàn thành,Đang thực hiện,Cần bổ sung,Cần kiểm tra,Không áp dụng"</x:formula1>
    </x:dataValidation>
  </x:dataValidations>
  <x:hyperlinks>
    <x:hyperlink xmlns:r="http://schemas.openxmlformats.org/officeDocument/2006/relationships" ref="D10" r:id="R8119f3d0edb3430f"/>
  </x:hyperlinks>
  <x:pageMargins left="0.7" right="0.7" top="0.75" bottom="0.75" header="0.3" footer="0.3"/>
  <x:tableParts count="1">
    <x:tablePart xmlns:r="http://schemas.openxmlformats.org/officeDocument/2006/relationships" r:id="Rc124b0776cc54742"/>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38" customWidth="1"/>
    <x:col min="2" max="2" width="72" customWidth="1"/>
    <x:col min="3" max="3" width="22" customWidth="1"/>
    <x:col min="4" max="4" width="62" customWidth="1"/>
  </x:cols>
  <x:sheetData>
    <x:row r="1" ht="15" customHeight="1">
      <x:c r="A1" s="16" t="s">
        <x:v>325</x:v>
      </x:c>
      <x:c r="B1" s="16" t="s">
        <x:v>326</x:v>
      </x:c>
      <x:c r="C1" s="16" t="s">
        <x:v>327</x:v>
      </x:c>
      <x:c r="D1" s="16" t="s">
        <x:v>45</x:v>
      </x:c>
    </x:row>
    <x:row r="2" ht="15" customHeight="1">
      <x:c r="A2" s="17" t="s">
        <x:v>328</x:v>
      </x:c>
      <x:c r="B2" s="17" t="s">
        <x:v>329</x:v>
      </x:c>
      <x:c r="C2" s="17" t="s">
        <x:v>330</x:v>
      </x:c>
      <x:c r="D2" s="17"/>
    </x:row>
    <x:row r="3" ht="15" customHeight="1">
      <x:c r="A3" s="17" t="s">
        <x:v>319</x:v>
      </x:c>
      <x:c r="B3" s="17" t="s">
        <x:v>331</x:v>
      </x:c>
      <x:c r="C3" s="17" t="s">
        <x:v>332</x:v>
      </x:c>
      <x:c r="D3" s="17" t="s">
        <x:v>333</x:v>
      </x:c>
    </x:row>
    <x:row r="4" ht="15" customHeight="1">
      <x:c r="A4" s="17" t="s">
        <x:v>334</x:v>
      </x:c>
      <x:c r="B4" s="17" t="s">
        <x:v>335</x:v>
      </x:c>
      <x:c r="C4" s="17" t="s">
        <x:v>336</x:v>
      </x:c>
      <x:c r="D4" s="17" t="s">
        <x:v>337</x:v>
      </x:c>
    </x:row>
    <x:row r="5" ht="15" customHeight="1">
      <x:c r="A5" s="17" t="s">
        <x:v>338</x:v>
      </x:c>
      <x:c r="B5" s="17" t="s">
        <x:v>339</x:v>
      </x:c>
      <x:c r="C5" s="17" t="s">
        <x:v>330</x:v>
      </x:c>
      <x:c r="D5" s="17"/>
    </x:row>
    <x:row r="6" ht="15" customHeight="1">
      <x:c r="A6" s="17" t="s">
        <x:v>340</x:v>
      </x:c>
      <x:c r="B6" s="17" t="s">
        <x:v>341</x:v>
      </x:c>
      <x:c r="C6" s="17" t="s">
        <x:v>330</x:v>
      </x:c>
      <x:c r="D6" s="17" t="s">
        <x:v>342</x:v>
      </x:c>
    </x:row>
    <x:row r="7" ht="15" customHeight="1">
      <x:c r="A7" s="17" t="s">
        <x:v>343</x:v>
      </x:c>
      <x:c r="B7" s="17" t="s">
        <x:v>305</x:v>
      </x:c>
      <x:c r="C7" s="17" t="s">
        <x:v>330</x:v>
      </x:c>
      <x:c r="D7" s="17" t="s">
        <x:v>344</x:v>
      </x:c>
    </x:row>
    <x:row r="8" ht="15" customHeight="1">
      <x:c r="A8" s="17" t="s">
        <x:v>306</x:v>
      </x:c>
      <x:c r="B8" s="17" t="s">
        <x:v>307</x:v>
      </x:c>
      <x:c r="C8" s="17" t="s">
        <x:v>330</x:v>
      </x:c>
      <x:c r="D8" s="17" t="s">
        <x:v>345</x:v>
      </x:c>
    </x:row>
    <x:row r="9" ht="15" customHeight="1">
      <x:c r="A9" s="17" t="s">
        <x:v>346</x:v>
      </x:c>
      <x:c r="B9" s="17" t="s">
        <x:v>347</x:v>
      </x:c>
      <x:c r="C9" s="17" t="s">
        <x:v>330</x:v>
      </x:c>
      <x:c r="D9" s="17"/>
    </x:row>
    <x:row r="10" ht="15" customHeight="1">
      <x:c r="A10" s="17" t="s">
        <x:v>348</x:v>
      </x:c>
      <x:c r="B10" s="17" t="s">
        <x:v>349</x:v>
      </x:c>
      <x:c r="C10" s="17" t="s">
        <x:v>330</x:v>
      </x:c>
      <x:c r="D10" s="17"/>
    </x:row>
    <x:row r="11" ht="15" customHeight="1">
      <x:c r="A11" s="17" t="s">
        <x:v>350</x:v>
      </x:c>
      <x:c r="B11" s="17" t="s">
        <x:v>351</x:v>
      </x:c>
      <x:c r="C11" s="17" t="s">
        <x:v>332</x:v>
      </x:c>
      <x:c r="D11" s="17" t="s">
        <x:v>302</x:v>
      </x:c>
    </x:row>
    <x:row r="12" ht="15" customHeight="1">
      <x:c r="A12" s="17" t="s">
        <x:v>352</x:v>
      </x:c>
      <x:c r="B12" s="17" t="s">
        <x:v>353</x:v>
      </x:c>
      <x:c r="C12" s="17" t="s">
        <x:v>330</x:v>
      </x:c>
      <x:c r="D12" s="17" t="s">
        <x:v>354</x:v>
      </x:c>
    </x:row>
    <x:row r="13" ht="15" customHeight="1">
      <x:c r="A13" s="17" t="s">
        <x:v>355</x:v>
      </x:c>
      <x:c r="B13" s="17" t="s">
        <x:v>356</x:v>
      </x:c>
      <x:c r="C13" s="17" t="s">
        <x:v>330</x:v>
      </x:c>
      <x:c r="D13" s="17" t="s">
        <x:v>357</x:v>
      </x:c>
    </x:row>
    <x:row r="14" ht="15" customHeight="1">
      <x:c r="A14" s="17" t="s">
        <x:v>358</x:v>
      </x:c>
      <x:c r="B14" s="17" t="s">
        <x:v>359</x:v>
      </x:c>
      <x:c r="C14" s="17" t="s">
        <x:v>330</x:v>
      </x:c>
      <x:c r="D14" s="17" t="s">
        <x:v>357</x:v>
      </x:c>
    </x:row>
    <x:row r="15" ht="15" customHeight="1">
      <x:c r="A15" s="17" t="s">
        <x:v>360</x:v>
      </x:c>
      <x:c r="B15" s="17" t="s">
        <x:v>361</x:v>
      </x:c>
      <x:c r="C15" s="17" t="s">
        <x:v>330</x:v>
      </x:c>
      <x:c r="D15" s="17" t="s">
        <x:v>357</x:v>
      </x:c>
    </x:row>
    <x:row r="16" ht="15" customHeight="1">
      <x:c r="A16" s="17" t="s">
        <x:v>362</x:v>
      </x:c>
      <x:c r="B16" s="17" t="s">
        <x:v>363</x:v>
      </x:c>
      <x:c r="C16" s="17" t="str">
        <x:v>Đã hoàn thành</x:v>
      </x:c>
      <x:c r="D16" s="17" t="str">
        <x:v>10 video dài 42-59 giây, có giọng nói và đã xác nhận Unlisted trong YouTube Studio</x:v>
      </x:c>
    </x:row>
    <x:row r="17" ht="15" customHeight="1">
      <x:c r="A17" s="17" t="s">
        <x:v>364</x:v>
      </x:c>
      <x:c r="B17" s="17" t="str">
        <x:v>evidence/github_issues/github_issues_overview.png</x:v>
      </x:c>
      <x:c r="C17" s="17" t="str">
        <x:v>Đã có</x:v>
      </x:c>
      <x:c r="D17" s="17" t="str">
        <x:v>Ảnh hiển thị GitHub username và 5 Issues đang mở</x:v>
      </x:c>
    </x:row>
    <x:row r="18" ht="15" customHeight="1">
      <x:c r="A18" s="17" t="s">
        <x:v>365</x:v>
      </x:c>
      <x:c r="B18" s="17" t="s">
        <x:v>366</x:v>
      </x:c>
      <x:c r="C18" s="17" t="s">
        <x:v>330</x:v>
      </x:c>
      <x:c r="D18" s="17" t="str">
        <x:v>Repository đã đặt Public và có thể truy cập mà không cần đăng nhập</x:v>
      </x:c>
    </x:row>
  </x:sheetData>
  <x:hyperlinks>
    <x:hyperlink xmlns:r="http://schemas.openxmlformats.org/officeDocument/2006/relationships" ref="B15" r:id="Rcd0a8b1c31434463"/>
  </x:hyperlinks>
  <x:pageMargins left="0.7" right="0.7" top="0.75" bottom="0.75" header="0.3" footer="0.3"/>
  <x:tableParts count="1">
    <x:tablePart xmlns:r="http://schemas.openxmlformats.org/officeDocument/2006/relationships" r:id="R15d2c4feb8374c67"/>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12" customWidth="1"/>
    <x:col min="2" max="2" width="70" customWidth="1"/>
    <x:col min="3" max="3" width="16" customWidth="1"/>
    <x:col min="4" max="4" width="18" customWidth="1"/>
    <x:col min="5" max="5" width="62" customWidth="1"/>
  </x:cols>
  <x:sheetData>
    <x:row r="1" ht="15" customHeight="1">
      <x:c r="A1" s="16" t="s">
        <x:v>367</x:v>
      </x:c>
      <x:c r="B1" s="16" t="s">
        <x:v>368</x:v>
      </x:c>
      <x:c r="C1" s="16" t="s">
        <x:v>369</x:v>
      </x:c>
      <x:c r="D1" s="16" t="s">
        <x:v>370</x:v>
      </x:c>
      <x:c r="E1" s="16" t="s">
        <x:v>45</x:v>
      </x:c>
    </x:row>
    <x:row r="2" ht="15" customHeight="1">
      <x:c r="A2" s="20" t="s">
        <x:v>371</x:v>
      </x:c>
      <x:c r="B2" s="17" t="s">
        <x:v>372</x:v>
      </x:c>
      <x:c r="C2" s="20">
        <x:v>40</x:v>
      </x:c>
      <x:c r="D2" s="20">
        <x:v>40</x:v>
      </x:c>
      <x:c r="E2" s="17" t="s">
        <x:v>373</x:v>
      </x:c>
    </x:row>
    <x:row r="3" ht="15" customHeight="1">
      <x:c r="A3" s="20" t="s">
        <x:v>374</x:v>
      </x:c>
      <x:c r="B3" s="17" t="s">
        <x:v>375</x:v>
      </x:c>
      <x:c r="C3" s="20">
        <x:v>20</x:v>
      </x:c>
      <x:c r="D3" s="20">
        <x:v>20</x:v>
      </x:c>
      <x:c r="E3" s="17" t="s">
        <x:v>376</x:v>
      </x:c>
    </x:row>
    <x:row r="4" ht="15" customHeight="1">
      <x:c r="A4" s="20" t="s">
        <x:v>377</x:v>
      </x:c>
      <x:c r="B4" s="17" t="s">
        <x:v>378</x:v>
      </x:c>
      <x:c r="C4" s="20">
        <x:v>25</x:v>
      </x:c>
      <x:c r="D4" s="20">
        <x:v>25</x:v>
      </x:c>
      <x:c r="E4" s="17" t="str">
        <x:v>Đủ 15 test case; 10 test case đã thực thi; 10 video dài 42-59 giây, có giọng nói và đã xác nhận Unlisted</x:v>
      </x:c>
    </x:row>
    <x:row r="5" ht="15" customHeight="1">
      <x:c r="A5" s="20" t="s">
        <x:v>379</x:v>
      </x:c>
      <x:c r="B5" s="17" t="s">
        <x:v>380</x:v>
      </x:c>
      <x:c r="C5" s="20">
        <x:v>8</x:v>
      </x:c>
      <x:c r="D5" s="20">
        <x:v>8</x:v>
      </x:c>
      <x:c r="E5" s="17" t="s">
        <x:v>381</x:v>
      </x:c>
    </x:row>
    <x:row r="6" ht="15" customHeight="1">
      <x:c r="A6" s="20" t="s">
        <x:v>382</x:v>
      </x:c>
      <x:c r="B6" s="17" t="s">
        <x:v>383</x:v>
      </x:c>
      <x:c r="C6" s="20">
        <x:v>4</x:v>
      </x:c>
      <x:c r="D6" s="20">
        <x:v>4</x:v>
      </x:c>
      <x:c r="E6" s="17" t="s">
        <x:v>384</x:v>
      </x:c>
    </x:row>
    <x:row r="7" ht="15" customHeight="1">
      <x:c r="A7" s="20" t="s">
        <x:v>385</x:v>
      </x:c>
      <x:c r="B7" s="17" t="s">
        <x:v>386</x:v>
      </x:c>
      <x:c r="C7" s="20">
        <x:v>3</x:v>
      </x:c>
      <x:c r="D7" s="20">
        <x:v>3</x:v>
      </x:c>
      <x:c r="E7" s="17" t="str">
        <x:v>AI-05 bằng Markdown/PDF đã có; 5 GitHub Issues và ảnh tổng quan đã bổ sung; còn cần screenshot chứng minh AI bỏ sót edge case</x:v>
      </x:c>
    </x:row>
    <x:row r="8" ht="15" customHeight="1">
      <x:c r="A8" s="21" t="s">
        <x:v>387</x:v>
      </x:c>
      <x:c r="B8" s="22"/>
      <x:c r="C8" s="21">
        <x:v>100</x:v>
      </x:c>
      <x:c r="D8" s="21" t="n">
        <x:f>SUM(D2:D7)</x:f>
        <x:v>100</x:v>
      </x:c>
      <x:c r="E8" s="22"/>
    </x:row>
  </x:sheetData>
  <x:pageMargins left="0.7" right="0.7" top="0.75" bottom="0.75" header="0.3" footer="0.3"/>
  <x:tableParts count="1">
    <x:tablePart xmlns:r="http://schemas.openxmlformats.org/officeDocument/2006/relationships" r:id="R417c792936184c53"/>
  </x:tableParts>
</x:worksheet>
</file>